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4efe28606f4f36" /></Relationships>
</file>

<file path=xl/workbook.xml><?xml version="1.0" encoding="utf-8"?>
<x:workbook xmlns:x="http://schemas.openxmlformats.org/spreadsheetml/2006/main">
  <x:sheets>
    <x:sheet xmlns:r="http://schemas.openxmlformats.org/officeDocument/2006/relationships" name="Consociazioni" sheetId="1" r:id="R2b62f16af34b4c9f"/>
    <x:sheet xmlns:r="http://schemas.openxmlformats.org/officeDocument/2006/relationships" name="Legenda" sheetId="2" r:id="Rb3c859a9d80d498d"/>
    <x:sheet xmlns:r="http://schemas.openxmlformats.org/officeDocument/2006/relationships" name="Dati origine (GitHub)" sheetId="3" r:id="R703cc4de031946ac"/>
    <x:sheet xmlns:r="http://schemas.openxmlformats.org/officeDocument/2006/relationships" name="Dati origine (Orto Mio)" sheetId="4" r:id="R10e5f95db672459d"/>
    <x:sheet xmlns:r="http://schemas.openxmlformats.org/officeDocument/2006/relationships" name="Scheda coltivazione (Orto Mio)" sheetId="5" r:id="Rc00d425114884e00"/>
    <x:sheet xmlns:r="http://schemas.openxmlformats.org/officeDocument/2006/relationships" name="DB_Entita" sheetId="6" r:id="R81f9aee1e84d4291"/>
    <x:sheet xmlns:r="http://schemas.openxmlformats.org/officeDocument/2006/relationships" name="DB_Relazioni" sheetId="7" r:id="R80cdd361b91d4ee4"/>
    <x:sheet xmlns:r="http://schemas.openxmlformats.org/officeDocument/2006/relationships" name="DB_Specie_Cura" sheetId="8" r:id="R8cbb3540459a43aa"/>
    <x:sheet xmlns:r="http://schemas.openxmlformats.org/officeDocument/2006/relationships" name="DB_Alias" sheetId="9" r:id="R96bafb52df774802"/>
    <x:sheet xmlns:r="http://schemas.openxmlformats.org/officeDocument/2006/relationships" name="DB_Fonti" sheetId="10" r:id="R5096922b624047aa"/>
    <x:sheet xmlns:r="http://schemas.openxmlformats.org/officeDocument/2006/relationships" name="DB_Controlli" sheetId="11" r:id="R50758212d80e4134"/>
  </x:sheets>
</x:workbook>
</file>

<file path=xl/sharedStrings.xml><?xml version="1.0" encoding="utf-8"?>
<x:sst xmlns:x="http://schemas.openxmlformats.org/spreadsheetml/2006/main">
  <x:si>
    <x:t xml:space="preserve">Tabella incrociata delle consociazioni dell'orto</x:t>
  </x:si>
  <x:si>
    <x:t xml:space="preserve">Alliums</x:t>
  </x:si>
  <x:si>
    <x:t xml:space="preserve">Asparagus</x:t>
  </x:si>
  <x:si>
    <x:t xml:space="preserve">Beans, bush</x:t>
  </x:si>
  <x:si>
    <x:t xml:space="preserve">Beans, pole</x:t>
  </x:si>
  <x:si>
    <x:t xml:space="preserve">Beans, fava</x:t>
  </x:si>
  <x:si>
    <x:t xml:space="preserve">Beets</x:t>
  </x:si>
  <x:si>
    <x:t xml:space="preserve">Brassicas</x:t>
  </x:si>
  <x:si>
    <x:t xml:space="preserve">Broccoli</x:t>
  </x:si>
  <x:si>
    <x:t xml:space="preserve">Brussels sprouts</x:t>
  </x:si>
  <x:si>
    <x:t xml:space="preserve">Cabbage</x:t>
  </x:si>
  <x:si>
    <x:t xml:space="preserve">Carrots</x:t>
  </x:si>
  <x:si>
    <x:t xml:space="preserve">Cauliflower</x:t>
  </x:si>
  <x:si>
    <x:t xml:space="preserve">Celery</x:t>
  </x:si>
  <x:si>
    <x:t xml:space="preserve">Chard</x:t>
  </x:si>
  <x:si>
    <x:t xml:space="preserve">Corn / Maize</x:t>
  </x:si>
  <x:si>
    <x:t xml:space="preserve">Cucumber</x:t>
  </x:si>
  <x:si>
    <x:t xml:space="preserve">Cucurbits</x:t>
  </x:si>
  <x:si>
    <x:t xml:space="preserve">Eggplant or Aubergine</x:t>
  </x:si>
  <x:si>
    <x:t xml:space="preserve">Kohlrabi</x:t>
  </x:si>
  <x:si>
    <x:t xml:space="preserve">Leek</x:t>
  </x:si>
  <x:si>
    <x:t xml:space="preserve">Legumes</x:t>
  </x:si>
  <x:si>
    <x:t xml:space="preserve">Lettuce</x:t>
  </x:si>
  <x:si>
    <x:t xml:space="preserve">Mustard</x:t>
  </x:si>
  <x:si>
    <x:t xml:space="preserve">Nightshades</x:t>
  </x:si>
  <x:si>
    <x:t xml:space="preserve">Okra</x:t>
  </x:si>
  <x:si>
    <x:t xml:space="preserve">Onion</x:t>
  </x:si>
  <x:si>
    <x:t xml:space="preserve">Parsnip</x:t>
  </x:si>
  <x:si>
    <x:t xml:space="preserve">Peas</x:t>
  </x:si>
  <x:si>
    <x:t xml:space="preserve">Peppers</x:t>
  </x:si>
  <x:si>
    <x:t xml:space="preserve">Potato</x:t>
  </x:si>
  <x:si>
    <x:t xml:space="preserve">Pumpkin</x:t>
  </x:si>
  <x:si>
    <x:t xml:space="preserve">Radish</x:t>
  </x:si>
  <x:si>
    <x:t xml:space="preserve">Soybean</x:t>
  </x:si>
  <x:si>
    <x:t xml:space="preserve">Spinach</x:t>
  </x:si>
  <x:si>
    <x:t xml:space="preserve">Squash</x:t>
  </x:si>
  <x:si>
    <x:t xml:space="preserve">Sweet potato</x:t>
  </x:si>
  <x:si>
    <x:t xml:space="preserve">Tomatoes</x:t>
  </x:si>
  <x:si>
    <x:t xml:space="preserve">Turnips and rutabagas</x:t>
  </x:si>
  <x:si>
    <x:t xml:space="preserve">Basil</x:t>
  </x:si>
  <x:si>
    <x:t xml:space="preserve">Artichoke</x:t>
  </x:si>
  <x:si>
    <x:t xml:space="preserve">Cardoon</x:t>
  </x:si>
  <x:si>
    <x:t xml:space="preserve">Chicory</x:t>
  </x:si>
  <x:si>
    <x:t xml:space="preserve">Endive</x:t>
  </x:si>
  <x:si>
    <x:t xml:space="preserve">Fennel</x:t>
  </x:si>
  <x:si>
    <x:t xml:space="preserve">Strawberry</x:t>
  </x:si>
  <x:si>
    <x:t xml:space="preserve">Melon</x:t>
  </x:si>
  <x:si>
    <x:t xml:space="preserve">Parsley</x:t>
  </x:si>
  <x:si>
    <x:t xml:space="preserve">Arugula</x:t>
  </x:si>
  <x:si>
    <x:t xml:space="preserve">Corn salad</x:t>
  </x:si>
  <x:si>
    <x:t xml:space="preserve">Watermelon</x:t>
  </x:si>
  <x:si>
    <x:t xml:space="preserve">—</x:t>
  </x:si>
  <x:si>
    <x:t xml:space="preserve">C</x:t>
  </x:si>
  <x:si>
    <x:t xml:space="preserve">B</x:t>
  </x:si>
  <x:si>
    <x:t xml:space="preserve">M</x:t>
  </x:si>
  <x:si>
    <x:t xml:space="preserve">Legenda</x:t>
  </x:si>
  <x:si>
    <x:t xml:space="preserve">Consociazione favorevole (Buona)</x:t>
  </x:si>
  <x:si>
    <x:t xml:space="preserve">Consociazione da evitare (Cattiva)</x:t>
  </x:si>
  <x:si>
    <x:t xml:space="preserve">Relazione mista / dipende dal contesto (fonti in disaccordo)</x:t>
  </x:si>
  <x:si>
    <x:t xml:space="preserve">Stessa pianta (diagonale)</x:t>
  </x:si>
  <x:si>
    <x:t xml:space="preserve">(vuoto)</x:t>
  </x:si>
  <x:si>
    <x:t xml:space="preserve">Nessuna relazione documentata nelle fonti</x:t>
  </x:si>
  <x:si>
    <x:t xml:space="preserve">Fonti dati:</x:t>
  </x:si>
  <x:si>
    <x:t xml:space="preserve">1) https://github.com/GenevieveMilliken/companion_plants (estratto da Wikipedia, List of companion plants) - relazioni Buona/Cattiva</x:t>
  </x:si>
  <x:si>
    <x:t xml:space="preserve">2) https://www.ortomio.it/consigli-per-l-orto/consociazioni-orto (tabella italiana) - colonna 'Consociazione possibile', integrata come relazioni Buona</x:t>
  </x:si>
  <x:si>
    <x:t xml:space="preserve">Nota:</x:t>
  </x:si>
  <x:si>
    <x:t xml:space="preserve">La matrice unisce le due fonti. Il dataset GitHub fornisce relazioni buone e cattive; la tabella Orto Mio fornisce solo abbinamenti favorevoli, quindi ha arricchito soprattutto le celle 'B'. Le 12 piante aggiunte da Orto Mio (es. Basilico, Carciofo, Finocchio, Fragola...) non erano presenti nel dataset originale.</x:t>
  </x:si>
  <x:si>
    <x:t xml:space="preserve">Dove le due fonti si contraddicono (una dice 'buona', l'altra 'cattiva' per la stessa coppia) la cella e' marcata 'M' (Mista): verificare manualmente per le decisioni piu' importanti.</x:t>
  </x:si>
  <x:si>
    <x:t xml:space="preserve">Nuovo:</x:t>
  </x:si>
  <x:si>
    <x:t xml:space="preserve">Il foglio 'Scheda coltivazione (Orto Mio)' riporta anche famiglia botanica, rotazione colturale, distanze di impianto, concimazione e note di irrigazione per le 42 specie della tabella Orto Mio.</x:t>
  </x:si>
  <x:si>
    <x:t xml:space="preserve">Common name</x:t>
  </x:si>
  <x:si>
    <x:t xml:space="preserve">Scientific name</x:t>
  </x:si>
  <x:si>
    <x:t xml:space="preserve">Helps</x:t>
  </x:si>
  <x:si>
    <x:t xml:space="preserve">Helped by</x:t>
  </x:si>
  <x:si>
    <x:t xml:space="preserve">Attracts</x:t>
  </x:si>
  <x:si>
    <x:t xml:space="preserve">-Repels/+distracts</x:t>
  </x:si>
  <x:si>
    <x:t xml:space="preserve">Avoid</x:t>
  </x:si>
  <x:si>
    <x:t xml:space="preserve">Comments</x:t>
  </x:si>
  <x:si>
    <x:t xml:space="preserve">Allium</x:t>
  </x:si>
  <x:si>
    <x:t xml:space="preserve">Fruit trees, nightshades (tomatoes, capsicum peppers, potatoes), brassicas, carrots</x:t>
  </x:si>
  <x:si>
    <x:t xml:space="preserve">Carrots, tomatoes, carrots and African spider plants (Cleome gynandra) together, marigolds (Tagetes spp.), mints</x:t>
  </x:si>
  <x:si>
    <x:t xml:space="preserve">Thrips</x:t>
  </x:si>
  <x:si>
    <x:t xml:space="preserve">rabbits, slugs (see Garlic), aphids, carrot fly, cabbage loopers, cabbage maggots, cabbage worms, Japanese beetles</x:t>
  </x:si>
  <x:si>
    <x:t xml:space="preserve">Beans peas,</x:t>
  </x:si>
  <x:si>
    <x:t xml:space="preserve">Alliums are a family of plants which include onions, garlic, leeks, shallots, chives, and others.
</x:t>
  </x:si>
  <x:si>
    <x:t xml:space="preserve">Asparagus officinalis</x:t>
  </x:si>
  <x:si>
    <x:t xml:space="preserve">Tomatoes, parsley</x:t>
  </x:si>
  <x:si>
    <x:t xml:space="preserve">Aster family flowers, dill, coriander, tomatoes, parsley, basil, comfrey, marigolds, nasturtiumscitation needed</x:t>
  </x:si>
  <x:si>
    <x:t xml:space="preserve">Coupled with basil seems to encourage lady bugs</x:t>
  </x:si>
  <x:si>
    <x:t xml:space="preserve">Onion, garlic, potatoes, gladioluscitation needed</x:t>
  </x:si>
  <x:si>
    <x:t xml:space="preserve">
</x:t>
  </x:si>
  <x:si>
    <x:t xml:space="preserve">Phaseolus vulgaris</x:t>
  </x:si>
  <x:si>
    <x:t xml:space="preserve">Cucumber, soybeans, strawberries</x:t>
  </x:si>
  <x:si>
    <x:t xml:space="preserve">Celery, strawberries, grains</x:t>
  </x:si>
  <x:si>
    <x:t xml:space="preserve">Fennel, soybeans, dry beans, alfalfa</x:t>
  </x:si>
  <x:si>
    <x:t xml:space="preserve">"Lettuce, potato, tomato, other legumes, crucifers, or cucurbits increase sclerotinia" in the soil and should be avoided before and after snap beans. See the entry for "Legumes" for more info
</x:t>
  </x:si>
  <x:si>
    <x:t xml:space="preserve">Radishes, Corn</x:t>
  </x:si>
  <x:si>
    <x:t xml:space="preserve">Sunflowers, beets, brassicas, kohlrabi</x:t>
  </x:si>
  <x:si>
    <x:t xml:space="preserve">the stalk of the corn provides a pole for the beans to grow on, which then gives nitrogen to the soil of the corn.circular reference As for the Radishes, see the entry for "Legumes" for more info
</x:t>
  </x:si>
  <x:si>
    <x:t xml:space="preserve">Vicia faba</x:t>
  </x:si>
  <x:si>
    <x:t xml:space="preserve">Strawberries, Celery</x:t>
  </x:si>
  <x:si>
    <x:t xml:space="preserve">See the entry for "Legumes" for more info
</x:t>
  </x:si>
  <x:si>
    <x:t xml:space="preserve">Beta vulgaris</x:t>
  </x:si>
  <x:si>
    <x:t xml:space="preserve">Broccoli, bush beans, cabbage, lettuce, kohlrabi, onions, brassicas, passion fruit</x:t>
  </x:si>
  <x:si>
    <x:t xml:space="preserve">Bush beans, onions, kohlrabi, catnip,citation needed garlic, lettuce, most brassicas, mint</x:t>
  </x:si>
  <x:si>
    <x:t xml:space="preserve">Runner or pole beans</x:t>
  </x:si>
  <x:si>
    <x:t xml:space="preserve">Good for adding minerals to the soil through composting leaves which have up to 25% magnesium. Runner or pole beans and beets stunt each other's growth.
</x:t>
  </x:si>
  <x:si>
    <x:t xml:space="preserve">Brassica</x:t>
  </x:si>
  <x:si>
    <x:t xml:space="preserve">Beets, onions, potatoes, cereals (e.g. corn, wheat)</x:t>
  </x:si>
  <x:si>
    <x:t xml:space="preserve">Beets, spinach, chard, Aromatic plants or plants with many blossoms, such as celery, chamomile, and marigolds. Dill, sage, peas,citation needed peppermint, spearmint,citation needed spurrey,citation needed rosemary, rye-grass,citation needed garlic, onions and potatoes. geraniums, alliums, nasturtium, borage, hyssop, tansy,citation needed tomatoes,citation needed thyme, wormwood, southernwood, beans, clovercitation needed</x:t>
  </x:si>
  <x:si>
    <x:t xml:space="preserve">Wireworms</x:t>
  </x:si>
  <x:si>
    <x:t xml:space="preserve">Mustards, nightshades (tomatoes, peppers, etc.), pole beans, strawberries</x:t>
  </x:si>
  <x:si>
    <x:t xml:space="preserve">Brassicas are a family of plants which includes broccoli, Brussels sprouts, cabbage, cauliflower, Chinese cabbage, kohlrabi, radish, and turnip. Thyme, nasturtiums, and onion showed good resistance to cabbage worm, weevil and cabbage looper.
</x:t>
  </x:si>
  <x:si>
    <x:t xml:space="preserve">Brassica oleracea</x:t>
  </x:si>
  <x:si>
    <x:t xml:space="preserve">Mixture of mustard, pac choi, and rape.citation needed  Beets, dill, lettuce, mustard,citation needed onions, tomato, turnip, clover</x:t>
  </x:si>
  <x:si>
    <x:t xml:space="preserve">Broccoli as a main crop intercropped with lettuce was shown to be more profitable than either crop alone. Turnip acts as a trap crop. See brassicas entry for more info
</x:t>
  </x:si>
  <x:si>
    <x:t xml:space="preserve">Sage, thyme, clover, malting barleycitation needed</x:t>
  </x:si>
  <x:si>
    <x:t xml:space="preserve">Brassica oleracea / Brassica chinensis</x:t>
  </x:si>
  <x:si>
    <x:t xml:space="preserve">Beans, celery</x:t>
  </x:si>
  <x:si>
    <x:t xml:space="preserve">Beans, clover, calendula/pot marigold, chamomile, larkspur, nasturtiums, dill, coriander, hyssop, onions, beets, marigolds,citation needed mint, rosemary, sage, thyme, tomatoes,citation needed lacy phacelia,citation needed Green onions with Chinese cabbage.citation needed</x:t>
  </x:si>
  <x:si>
    <x:t xml:space="preserve">Snails and slugs</x:t>
  </x:si>
  <x:si>
    <x:t xml:space="preserve">Grapes</x:t>
  </x:si>
  <x:si>
    <x:t xml:space="preserve">See brassicas entry for more info. If using clover as an intercrop it should be sown after cabbage transplant so as not to affect crop yield. Nasturtiums repel cabbage moths
</x:t>
  </x:si>
  <x:si>
    <x:t xml:space="preserve">Daucus carota</x:t>
  </x:si>
  <x:si>
    <x:t xml:space="preserve">Tomatoes, alliums, beans, leeks, lettuce, onions, passion fruit</x:t>
  </x:si>
  <x:si>
    <x:t xml:space="preserve">Lettuce, alliums (chives, leeks, onions, shallots, etc.), rosemary, wormwood, sage, beans, flax</x:t>
  </x:si>
  <x:si>
    <x:t xml:space="preserve">Assassin bug, lacewing, parasitic wasp, yellow jacket and other predatory wasps</x:t>
  </x:si>
  <x:si>
    <x:t xml:space="preserve">Leek moth, onion fly</x:t>
  </x:si>
  <x:si>
    <x:t xml:space="preserve">Dill, parsnip, radish</x:t>
  </x:si>
  <x:si>
    <x:t xml:space="preserve">Tomatoes grow better with carrots, but may stunt the carrots' growth. Beans provide the nitrogen carrots need more than some other vegetables. Aromatic companion plants repel carrot fly. Sage, rosemary, and radishes are recommended by some as companion plants, but listed by others as incompatible. Alliums inter-planted with carrots confuse onion and carrot flies. For the beneficial insect-attracting properties of carrots to work, they need to be allowed to flower; Otherwise, use the wild carrot, Queen Anne's Lace, for the same effect. Flax produces an oil that may protect root vegetables like carrots from some pests.
</x:t>
  </x:si>
  <x:si>
    <x:t xml:space="preserve">Beans, celery, spinach, peas</x:t>
  </x:si>
  <x:si>
    <x:t xml:space="preserve">Mixture of Chinese cabbage, marigolds, rape, and sunflower.citation needed  Spinach,citation needed peas</x:t>
  </x:si>
  <x:si>
    <x:t xml:space="preserve">One row of spinach alternating at 60 cm from each row of cauliflower proved mutually beneficial.citation needed See brassicas for more info. See peas regarding their mutualism with cauliflower.
</x:t>
  </x:si>
  <x:si>
    <x:t xml:space="preserve">Apium graveolens</x:t>
  </x:si>
  <x:si>
    <x:t xml:space="preserve">Bush beans, brassicas, cucumber</x:t>
  </x:si>
  <x:si>
    <x:t xml:space="preserve">Cosmos, daisies, snapdragons, leeks, tomatoes, cauliflower, cabbage, bush beans</x:t>
  </x:si>
  <x:si>
    <x:t xml:space="preserve">Whiteflies</x:t>
  </x:si>
  <x:si>
    <x:t xml:space="preserve">Corn, aster flowers</x:t>
  </x:si>
  <x:si>
    <x:t xml:space="preserve">Aster flowers, can transmit the aster yellows disease
</x:t>
  </x:si>
  <x:si>
    <x:t xml:space="preserve">Beta vulgaris ssp. cicla</x:t>
  </x:si>
  <x:si>
    <x:t xml:space="preserve">Brassicas, passion fruit</x:t>
  </x:si>
  <x:si>
    <x:t xml:space="preserve">Zea mays</x:t>
  </x:si>
  <x:si>
    <x:t xml:space="preserve">Beans, cucurbits, soybeans, tomatoes</x:t>
  </x:si>
  <x:si>
    <x:t xml:space="preserve">Sunflowers, dill, legumes (beans, peas, soybeans etc.), peanuts, cucurbits, clover, amaranth, white geranium, pigweed, lamb's quarters, morning glory, parsley, and potato, field mustard, Sudan grasscitation needed</x:t>
  </x:si>
  <x:si>
    <x:t xml:space="preserve">Tomato, celery</x:t>
  </x:si>
  <x:si>
    <x:t xml:space="preserve">Provides beans with a trellis, is protected from predators and dryness by cucurbits, in the three sisters technique
</x:t>
  </x:si>
  <x:si>
    <x:t xml:space="preserve">Cucumis sativus</x:t>
  </x:si>
  <x:si>
    <x:t xml:space="preserve">Beans, kohlrabi, lettuce</x:t>
  </x:si>
  <x:si>
    <x:t xml:space="preserve">Kohlrabi, nasturtiums, radishes, marigolds, sunflowers, peas, beans, chamomile, beets, carrots, dill, onions, garlic, amaranth (Amaranthus cruentus), celery, Malabar spinach</x:t>
  </x:si>
  <x:si>
    <x:t xml:space="preserve">Beneficial for ground beetles</x:t>
  </x:si>
  <x:si>
    <x:t xml:space="preserve">Raccoons, ants</x:t>
  </x:si>
  <x:si>
    <x:t xml:space="preserve">Potato, aromatic herbs</x:t>
  </x:si>
  <x:si>
    <x:t xml:space="preserve">Sow 2 or 3 radish seeds in with cucumbers to repel cucumber beetles. One study showed a 75% reduction in cucumber beetles with the concurrent seeding of amaranth. Various sprays from lettuce, asparagus, Malabar spinach, and celery were found to reduce whiteflies.See cucurbits entry for more info
</x:t>
  </x:si>
  <x:si>
    <x:t xml:space="preserve">Cucurbitaceae</x:t>
  </x:si>
  <x:si>
    <x:t xml:space="preserve">Corn</x:t>
  </x:si>
  <x:si>
    <x:t xml:space="preserve">Corn, grain sorghum</x:t>
  </x:si>
  <x:si>
    <x:t xml:space="preserve">Cucurbits are a family of plants that includes melons, cucumbers, gourds, pumpkins, and squash
</x:t>
  </x:si>
  <x:si>
    <x:t xml:space="preserve">Solanum melongena</x:t>
  </x:si>
  <x:si>
    <x:t xml:space="preserve">Beans, peppers, tomatoes, passion fruit</x:t>
  </x:si>
  <x:si>
    <x:t xml:space="preserve">Marigolds, catnip, dill,citation needed redroot pigweed, green beans, tarragon, mints, thyme</x:t>
  </x:si>
  <x:si>
    <x:t xml:space="preserve">Marigolds will deter nematodes.
</x:t>
  </x:si>
  <x:si>
    <x:t xml:space="preserve">Brassica oleracea v. gongylodes</x:t>
  </x:si>
  <x:si>
    <x:t xml:space="preserve">Onion, beets, aromatic plants, cucumbers</x:t>
  </x:si>
  <x:si>
    <x:t xml:space="preserve">Beets, cucumbers</x:t>
  </x:si>
  <x:si>
    <x:t xml:space="preserve">See Brassicas entry for more info
</x:t>
  </x:si>
  <x:si>
    <x:t xml:space="preserve">Allium ampeloprasum v. porrum</x:t>
  </x:si>
  <x:si>
    <x:t xml:space="preserve">Carrots, celery, onions, tomato, passion fruit</x:t>
  </x:si>
  <x:si>
    <x:t xml:space="preserve">Carrots clover,</x:t>
  </x:si>
  <x:si>
    <x:t xml:space="preserve">Swiss chard</x:t>
  </x:si>
  <x:si>
    <x:t xml:space="preserve">See Alliums entry for more info
</x:t>
  </x:si>
  <x:si>
    <x:t xml:space="preserve">Phaseolus and Vicia</x:t>
  </x:si>
  <x:si>
    <x:t xml:space="preserve">Beets, lettuce, okra, potato, spinach, dill, cabbage, carrots, chards, eggplant, peas, tomatoes, brassicas, corn, cucumbers, grapes</x:t>
  </x:si>
  <x:si>
    <x:t xml:space="preserve">Summer savory, beets, cucumbers, borage, cabbage, carrots, cauliflower, corn, larkspur, lovage, marigolds, mustards, radish, potato, peppermint, rosemary, lettuce, onion,citation needed squash, lacy phacelia</x:t>
  </x:si>
  <x:si>
    <x:t xml:space="preserve">Colorado potato beetle</x:t>
  </x:si>
  <x:si>
    <x:t xml:space="preserve">Alliums, gladiolas</x:t>
  </x:si>
  <x:si>
    <x:t xml:space="preserve">Hosts nitrogen-fixing bacteria, a good fertiliser for some plants, too much for others. Rosemary and peppermint extracts are used in organic sprays for beans. Summer savory and potatoes repel bean beetles.
</x:t>
  </x:si>
  <x:si>
    <x:t xml:space="preserve">Lactuca sativa</x:t>
  </x:si>
  <x:si>
    <x:t xml:space="preserve">Beets, beans, okra, onions, radish, broccoli, Carrots, passion fruit</x:t>
  </x:si>
  <x:si>
    <x:t xml:space="preserve">Radish, beets, dill, kohlrabi, onions, beans, carrots, cucumbers, strawberries, broccoli thyme, nasturtiums, alyssum, cilantro</x:t>
  </x:si>
  <x:si>
    <x:t xml:space="preserve">Slugs and snails.</x:t>
  </x:si>
  <x:si>
    <x:t xml:space="preserve">Celery, cabbage, cress, parsley</x:t>
  </x:si>
  <x:si>
    <x:t xml:space="preserve">Mints (including hyssop, sage, and various "balms") repel slugs, a bane of lettuce and cabbages.citation needed Broccoli when intercropped with lettuce was shown to be more profitable then either crop alone.
</x:t>
  </x:si>
  <x:si>
    <x:t xml:space="preserve">Sinapis alba</x:t>
  </x:si>
  <x:si>
    <x:t xml:space="preserve">Beans, broccoli, cabbage, cauliflower, fruit trees, grapes, radish, brussels sprouts, turnips</x:t>
  </x:si>
  <x:si>
    <x:t xml:space="preserve">Various pests</x:t>
  </x:si>
  <x:si>
    <x:t xml:space="preserve">See Brassicas entry for more info. Mustard acts as a trap crop in broccoli.citation needed
</x:t>
  </x:si>
  <x:si>
    <x:t xml:space="preserve">Solanaceae</x:t>
  </x:si>
  <x:si>
    <x:t xml:space="preserve">Carrots, alliums, mints (basil, oregano, etc.)</x:t>
  </x:si>
  <x:si>
    <x:t xml:space="preserve">Beans, black walnuts, corn, fennel, dill, brassicas</x:t>
  </x:si>
  <x:si>
    <x:t xml:space="preserve">Nightshades are a family of plants which include tomatoes, tobacco, chili peppers (including bell peppers), potatoes, eggplant, and others
</x:t>
  </x:si>
  <x:si>
    <x:t xml:space="preserve">Abelmoschus esculentus</x:t>
  </x:si>
  <x:si>
    <x:t xml:space="preserve">Sweet potato, tomatoes, peppers</x:t>
  </x:si>
  <x:si>
    <x:t xml:space="preserve">Beans, lettuce, squash, sweet potato, peppers</x:t>
  </x:si>
  <x:si>
    <x:t xml:space="preserve">Okra and sweet potato are mutually beneficial when planted simultaneously.
</x:t>
  </x:si>
  <x:si>
    <x:t xml:space="preserve">Allium cepa</x:t>
  </x:si>
  <x:si>
    <x:t xml:space="preserve">Beets, beans, brassicas, cabbage, broccoli, carrots, lettuce, cucumbers, peppers, passion fruit, strawberries. Green onions with Chinese cabbage.</x:t>
  </x:si>
  <x:si>
    <x:t xml:space="preserve">Carrots, beets, brassicas, dill, lettuce, strawberries, marigolds,citation needed mints,citation needed tomatoes, summer savory, chamomile, pansy</x:t>
  </x:si>
  <x:si>
    <x:t xml:space="preserve">Lentils, peas,</x:t>
  </x:si>
  <x:si>
    <x:t xml:space="preserve">Pastinaca sativa</x:t>
  </x:si>
  <x:si>
    <x:t xml:space="preserve">Fruit trees</x:t>
  </x:si>
  <x:si>
    <x:t xml:space="preserve">A variety of predatory insects</x:t>
  </x:si>
  <x:si>
    <x:t xml:space="preserve">The flowers of the parsnip plant left to seed will attract a variety of predatory insects to the garden, they are particularly helpful when left under fruit trees, the predators attacking codling moth and light brown apple moth. The root also contains Myristricin, which is toxic to fruit flies, house flies, red spider mite, pea aphids, a simple blender made extraction of three blended parsnips roots to one litre of water through a food processor (not one for preparing food) and left overnight, strained and use within a few days.
</x:t>
  </x:si>
  <x:si>
    <x:t xml:space="preserve">Pisum sativum</x:t>
  </x:si>
  <x:si>
    <x:t xml:space="preserve">Brassicas, turnip, cauliflower, garlic,</x:t>
  </x:si>
  <x:si>
    <x:t xml:space="preserve">Turnip, cauliflower, garlic, mints</x:t>
  </x:si>
  <x:si>
    <x:t xml:space="preserve">Peas when intercropped with turnips, cauliflower, or garlic showed mutual suppression of growth however their profit per land area used was increased.
</x:t>
  </x:si>
  <x:si>
    <x:t xml:space="preserve">Solanaceae, Capsicum</x:t>
  </x:si>
  <x:si>
    <x:t xml:space="preserve">Beans, tomatoes, marjoram,citation needed okra, geraniums, petunias, sunflowers, onions crimson clover, basil, field mustard</x:t>
  </x:si>
  <x:si>
    <x:t xml:space="preserve">Beans, kale (cabbage, Brussels sprouts, etc.)</x:t>
  </x:si>
  <x:si>
    <x:t xml:space="preserve">Pepper plants like high humidity, which can be helped along by planting with some kind of dense-leaf or ground-cover companion, like marjoram and basil; they also need direct sunlight, but their fruit can be harmed by it...pepper plants grown together, or with tomatoes, can shelter the fruit from sunlight, and raises the humidity level. Sunflowers, when in bloom at the right time, sheltered beneficial insects which lowered thrips populations.
</x:t>
  </x:si>
  <x:si>
    <x:t xml:space="preserve">Solanum tuberosum</x:t>
  </x:si>
  <x:si>
    <x:t xml:space="preserve">Brassicas, beans, corn, peas, passion fruit</x:t>
  </x:si>
  <x:si>
    <x:t xml:space="preserve">Horseradish, beans, dead nettle, marigolds, peas, onion, garlic, thyme, clover</x:t>
  </x:si>
  <x:si>
    <x:t xml:space="preserve">Mexican bean beetle</x:t>
  </x:si>
  <x:si>
    <x:t xml:space="preserve">Atriplex, carrot, cucumber, pumpkin, raspberries, squash, sunflower, tomato</x:t>
  </x:si>
  <x:si>
    <x:t xml:space="preserve">Horseradish increases the disease resistance of potatoes. It repels the potato bug. Garlic was shown to be more effective than fungicides on late potato blight.65 Peas were shown to reduce the density of Colorado potato beetles.
</x:t>
  </x:si>
  <x:si>
    <x:t xml:space="preserve">Cucurbita pepo</x:t>
  </x:si>
  <x:si>
    <x:t xml:space="preserve">Corn, beans</x:t>
  </x:si>
  <x:si>
    <x:t xml:space="preserve">Buckwheat, Jimson weed, catnip, oregano, tansy, radishes, nasturtiums</x:t>
  </x:si>
  <x:si>
    <x:t xml:space="preserve">spiders, ground beetles</x:t>
  </x:si>
  <x:si>
    <x:t xml:space="preserve">Potatoes</x:t>
  </x:si>
  <x:si>
    <x:t xml:space="preserve">Radishes can be used as a trap crop against flea beetles, cucurbita can be used in the three sisters technique. Nasturtiums repel squash bugs.
</x:t>
  </x:si>
  <x:si>
    <x:t xml:space="preserve">Raphanus sativus</x:t>
  </x:si>
  <x:si>
    <x:t xml:space="preserve">Squash eggplant, cucumber, lettuce, peas, beans, pole beans,</x:t>
  </x:si>
  <x:si>
    <x:t xml:space="preserve">Chervil, lettuce, nasturtiums</x:t>
  </x:si>
  <x:si>
    <x:t xml:space="preserve">flea beetles, cucumber beetles</x:t>
  </x:si>
  <x:si>
    <x:t xml:space="preserve">Radishes can be used as a trap crop against flea beetles. Radishes grown with lettuce taste better.
</x:t>
  </x:si>
  <x:si>
    <x:t xml:space="preserve">Glycine max</x:t>
  </x:si>
  <x:si>
    <x:t xml:space="preserve">Corn, snap beans,citation needed sunflower</x:t>
  </x:si>
  <x:si>
    <x:t xml:space="preserve">A mixture of corn, mungbean, and sunflower was found to rid soybeans of aphids. Snap beans act as a trap crop for Mexican bean beetles in soybeans.citation needed
</x:t>
  </x:si>
  <x:si>
    <x:t xml:space="preserve">Spinacia oleracea</x:t>
  </x:si>
  <x:si>
    <x:t xml:space="preserve">Brassicas, cauliflower, passion fruit</x:t>
  </x:si>
  <x:si>
    <x:t xml:space="preserve">Strawberries, peas, beans, cauliflowercitation needed</x:t>
  </x:si>
  <x:si>
    <x:t xml:space="preserve">The peas and beans provide natural shade for the spinach. See cauliflower notes regarding mutualism with spinach.citation needed
</x:t>
  </x:si>
  <x:si>
    <x:t xml:space="preserve">Cucurbita spp.</x:t>
  </x:si>
  <x:si>
    <x:t xml:space="preserve">corn, beans, okra,</x:t>
  </x:si>
  <x:si>
    <x:t xml:space="preserve">Beans, buckwheat, borage, catnip, tansy, radishes, marigolds, nasturtiums</x:t>
  </x:si>
  <x:si>
    <x:t xml:space="preserve">Spiders, ground beetles</x:t>
  </x:si>
  <x:si>
    <x:t xml:space="preserve">Radishes can be used as a trap crop against flea beetles, cucurbita can be used in the three sisters technique. Marigolds and nasturtiums repel squash bugs. Marigolds repel cucumber beetles.
</x:t>
  </x:si>
  <x:si>
    <x:t xml:space="preserve">Ipomoea batatas</x:t>
  </x:si>
  <x:si>
    <x:t xml:space="preserve">Solanum lycopersicum</x:t>
  </x:si>
  <x:si>
    <x:t xml:space="preserve">Brassicas, broccoli, cabbage, celery, roses, peppers, asparagus</x:t>
  </x:si>
  <x:si>
    <x:t xml:space="preserve">Asparagus, basil, beans, bee balm (Monarda),  oregano, parsley, marigold, alliums, garlic, leeks, celery, geraniums, petunias, nasturtium, borage, coriander, chives, corn, dill, mustard, fenugreek, barley, carrots, eggplant, mints, okra, sage, thyme, "flower strips"</x:t>
  </x:si>
  <x:si>
    <x:t xml:space="preserve">Asparagus beetle</x:t>
  </x:si>
  <x:si>
    <x:t xml:space="preserve">Black walnut, alfalfa, corn, fennel, chili peppers, peas, dill, potatoes, beetroot, brassicas, rosemary</x:t>
  </x:si>
  <x:si>
    <x:t xml:space="preserve">Black walnuts inhibit tomato growth, in fact they are negative allelopathic  to all other nightshade plants (chili pepper, potato, tobacco, petunia) as well, because it produces a chemical called juglone. Dill attracts tomato hornworm.Growing tomatoes with Basil does not appear to enhance tomato flavour but studies have shown that growing them around 10 inches apart can increase the yield of tomatoes by about 20%. One study shows that growing chili peppers near tomatoes in greenhouses increases tomato whitefly on the tomatoes.
</x:t>
  </x:si>
  <x:si>
    <x:t xml:space="preserve">Brassica rapa and Brassica napobrassica</x:t>
  </x:si>
  <x:si>
    <x:t xml:space="preserve">Peas, broccoli</x:t>
  </x:si>
  <x:si>
    <x:t xml:space="preserve">Hairy vetch, peas</x:t>
  </x:si>
  <x:si>
    <x:t xml:space="preserve">hedge mustard, knotweed</x:t>
  </x:si>
  <x:si>
    <x:t xml:space="preserve">Turnips act as a trap crop for broccoli. See peas regarding their mutualism with turnips.
</x:t>
  </x:si>
  <x:si>
    <x:t xml:space="preserve">Pianta (canonico)</x:t>
  </x:si>
  <x:si>
    <x:t xml:space="preserve">Consociazione possibile (IT, dalla tabella Orto Mio)</x:t>
  </x:si>
  <x:si>
    <x:t xml:space="preserve">Lattuga, Fragola, Carota</x:t>
  </x:si>
  <x:si>
    <x:t xml:space="preserve">Lattuga, Cipolla, Sedano</x:t>
  </x:si>
  <x:si>
    <x:t xml:space="preserve">Lattuga, Spinacio, Fagiolino</x:t>
  </x:si>
  <x:si>
    <x:t xml:space="preserve">Pomodoro, Finocchio, Cetriolo</x:t>
  </x:si>
  <x:si>
    <x:t xml:space="preserve">Cipolla, Ravanello, Cavoli</x:t>
  </x:si>
  <x:si>
    <x:t xml:space="preserve">Cipolla, Ravanello</x:t>
  </x:si>
  <x:si>
    <x:t xml:space="preserve">Cipolla, Ravanello, Lattuga</x:t>
  </x:si>
  <x:si>
    <x:t xml:space="preserve">Lattuga, Spinacio, Ravanello</x:t>
  </x:si>
  <x:si>
    <x:t xml:space="preserve">Cipolla, Porro, Lattuga</x:t>
  </x:si>
  <x:si>
    <x:t xml:space="preserve">Lattuga</x:t>
  </x:si>
  <x:si>
    <x:t xml:space="preserve">Bietola, Cipolla, Lattuga</x:t>
  </x:si>
  <x:si>
    <x:t xml:space="preserve">Cavolo, Cetriolo, Finocchio</x:t>
  </x:si>
  <x:si>
    <x:t xml:space="preserve">Lattuga, Sedano, Cipolla</x:t>
  </x:si>
  <x:si>
    <x:t xml:space="preserve">Finocchio, Lattuga, Pomodoro</x:t>
  </x:si>
  <x:si>
    <x:t xml:space="preserve">Lattuga, Carota, Pisello</x:t>
  </x:si>
  <x:si>
    <x:t xml:space="preserve">Ravanello, Carciofo, Cipolla</x:t>
  </x:si>
  <x:si>
    <x:t xml:space="preserve">Sedano, Cavoli, Lattuga</x:t>
  </x:si>
  <x:si>
    <x:t xml:space="preserve">Patata, Lattuga, Cavoli</x:t>
  </x:si>
  <x:si>
    <x:t xml:space="preserve">Lattuga, Cavolo, Spinacio</x:t>
  </x:si>
  <x:si>
    <x:t xml:space="preserve">Lattuga, Cipolla, Prezzemolo</x:t>
  </x:si>
  <x:si>
    <x:t xml:space="preserve">Cipolla, Ravanello, Pomodoro</x:t>
  </x:si>
  <x:si>
    <x:t xml:space="preserve">Sedano, Spinacio, Finocchio</x:t>
  </x:si>
  <x:si>
    <x:t xml:space="preserve">Zucca, Pomodoro, Lattuga</x:t>
  </x:si>
  <x:si>
    <x:t xml:space="preserve">Lattuga, Fagiolino, Cavolo</x:t>
  </x:si>
  <x:si>
    <x:t xml:space="preserve">Lattuga, Cavolo, Finocchio</x:t>
  </x:si>
  <x:si>
    <x:t xml:space="preserve">Lattuga, Peperone, Sedano</x:t>
  </x:si>
  <x:si>
    <x:t xml:space="preserve">Fava, Spinacio, Fagiolo, Mais</x:t>
  </x:si>
  <x:si>
    <x:t xml:space="preserve">Lattuga, Sedano, Pisello</x:t>
  </x:si>
  <x:si>
    <x:t xml:space="preserve">Cavolo, Sedano, Finocchio</x:t>
  </x:si>
  <x:si>
    <x:t xml:space="preserve">Ravanello, Spinacio, Fragola</x:t>
  </x:si>
  <x:si>
    <x:t xml:space="preserve">Prezzemolo, Spinacio, Lattuga</x:t>
  </x:si>
  <x:si>
    <x:t xml:space="preserve">Porro, Spinacio, Lattuga</x:t>
  </x:si>
  <x:si>
    <x:t xml:space="preserve">Melanzana, Pomodoro, Porro</x:t>
  </x:si>
  <x:si>
    <x:t xml:space="preserve">Fagiolo, Cipolla, Carciofo</x:t>
  </x:si>
  <x:si>
    <x:t xml:space="preserve">Lattuga, Cicoria, Porro</x:t>
  </x:si>
  <x:si>
    <x:t xml:space="preserve">Sedano, Finocchio, Cavolo</x:t>
  </x:si>
  <x:si>
    <x:t xml:space="preserve">Lattuga, Ravanello, Spinacio</x:t>
  </x:si>
  <x:si>
    <x:t xml:space="preserve">Fonte:</x:t>
  </x:si>
  <x:si>
    <x:t xml:space="preserve">https://www.ortomio.it/consigli-per-l-orto/consociazioni-orto</x:t>
  </x:si>
  <x:si>
    <x:t xml:space="preserve">Specie</x:t>
  </x:si>
  <x:si>
    <x:t xml:space="preserve">Famiglia</x:t>
  </x:si>
  <x:si>
    <x:t xml:space="preserve">Non trapiantare dopo</x:t>
  </x:si>
  <x:si>
    <x:t xml:space="preserve">Favorevole trapianto dopo</x:t>
  </x:si>
  <x:si>
    <x:t xml:space="preserve">Anni prima di ripetere</x:t>
  </x:si>
  <x:si>
    <x:t xml:space="preserve">Tollera mezz'ombra</x:t>
  </x:si>
  <x:si>
    <x:t xml:space="preserve">Distanza tra file (cm)</x:t>
  </x:si>
  <x:si>
    <x:t xml:space="preserve">Distanza sulla fila (cm)</x:t>
  </x:si>
  <x:si>
    <x:t xml:space="preserve">Concimazione organica</x:t>
  </x:si>
  <x:si>
    <x:t xml:space="preserve">In buca al trapianto</x:t>
  </x:si>
  <x:si>
    <x:t xml:space="preserve">Mensile dopo trapianto</x:t>
  </x:si>
  <x:si>
    <x:t xml:space="preserve">Riduzione prima raccolta</x:t>
  </x:si>
  <x:si>
    <x:t xml:space="preserve">Sospensione prima raccolta</x:t>
  </x:si>
  <x:si>
    <x:t xml:space="preserve">Note irrigazione (dopo l'attecchimento)</x:t>
  </x:si>
  <x:si>
    <x:t xml:space="preserve">Aglio</x:t>
  </x:si>
  <x:si>
    <x:t xml:space="preserve">LIL</x:t>
  </x:si>
  <x:si>
    <x:t xml:space="preserve">Patata, Bietola</x:t>
  </x:si>
  <x:si>
    <x:t xml:space="preserve">Composite</x:t>
  </x:si>
  <x:si>
    <x:t xml:space="preserve">Sì</x:t>
  </x:si>
  <x:si>
    <x:t xml:space="preserve">Media</x:t>
  </x:si>
  <x:si>
    <x:t xml:space="preserve">Al trapianto e poi settimanalmente, solo in caso di siccità</x:t>
  </x:si>
  <x:si>
    <x:t xml:space="preserve">Anguria</x:t>
  </x:si>
  <x:si>
    <x:t xml:space="preserve">CUC</x:t>
  </x:si>
  <x:si>
    <x:t xml:space="preserve">Cucurbitacee</x:t>
  </x:si>
  <x:si>
    <x:t xml:space="preserve">Legumi, Composite</x:t>
  </x:si>
  <x:si>
    <x:t xml:space="preserve">No</x:t>
  </x:si>
  <x:si>
    <x:t xml:space="preserve">Abbondante</x:t>
  </x:si>
  <x:si>
    <x:t xml:space="preserve">X</x:t>
  </x:si>
  <x:si>
    <x:t xml:space="preserve">Abbondare a inizio allegagione e ingrossamento dei frutti</x:t>
  </x:si>
  <x:si>
    <x:t xml:space="preserve">Asparago</x:t>
  </x:si>
  <x:si>
    <x:t xml:space="preserve">Patata, Carota, Asparago</x:t>
  </x:si>
  <x:si>
    <x:t xml:space="preserve">Mais, Fragola</x:t>
  </x:si>
  <x:si>
    <x:t xml:space="preserve">Settimanalmente nei periodi asciutti</x:t>
  </x:si>
  <x:si>
    <x:t xml:space="preserve">Basilico</x:t>
  </x:si>
  <x:si>
    <x:t xml:space="preserve">LAB</x:t>
  </x:si>
  <x:si>
    <x:t xml:space="preserve">Labiate</x:t>
  </x:si>
  <x:si>
    <x:t xml:space="preserve">Solanacee</x:t>
  </x:si>
  <x:si>
    <x:t xml:space="preserve">Frequente senza bagnare le foglie</x:t>
  </x:si>
  <x:si>
    <x:t xml:space="preserve">Bietola da coste</x:t>
  </x:si>
  <x:si>
    <x:t xml:space="preserve">CHE</x:t>
  </x:si>
  <x:si>
    <x:t xml:space="preserve">Spinacio, Bietole</x:t>
  </x:si>
  <x:si>
    <x:t xml:space="preserve">Cipolla, Fagiolo</x:t>
  </x:si>
  <x:si>
    <x:t xml:space="preserve">Frequente, senza ristagni</x:t>
  </x:si>
  <x:si>
    <x:t xml:space="preserve">Bietoline da taglio</x:t>
  </x:si>
  <x:si>
    <x:t xml:space="preserve">Bietola da radice</x:t>
  </x:si>
  <x:si>
    <x:t xml:space="preserve">Frequente, senza ristagni, ridurre prima della raccolta</x:t>
  </x:si>
  <x:si>
    <x:t xml:space="preserve">Carciofo</x:t>
  </x:si>
  <x:si>
    <x:t xml:space="preserve">COM</x:t>
  </x:si>
  <x:si>
    <x:t xml:space="preserve">Cardo, Carciofo</x:t>
  </x:si>
  <x:si>
    <x:t xml:space="preserve">Solanacee, Bietola</x:t>
  </x:si>
  <x:si>
    <x:t xml:space="preserve">Settimanalmente, in fase di produzione, in caso di siccità</x:t>
  </x:si>
  <x:si>
    <x:t xml:space="preserve">Cardo</x:t>
  </x:si>
  <x:si>
    <x:t xml:space="preserve">Frequenti evitando i ristagni nei periodi caldi e siccitosi</x:t>
  </x:si>
  <x:si>
    <x:t xml:space="preserve">Carota</x:t>
  </x:si>
  <x:si>
    <x:t xml:space="preserve">OMB</x:t>
  </x:si>
  <x:si>
    <x:t xml:space="preserve">Ombrellifere, Bietola</x:t>
  </x:si>
  <x:si>
    <x:t xml:space="preserve">Liliacee, Patata</x:t>
  </x:si>
  <x:si>
    <x:t xml:space="preserve">Settimanale in fase di ingrossamento, senza ristagni</x:t>
  </x:si>
  <x:si>
    <x:t xml:space="preserve">Cavoli</x:t>
  </x:si>
  <x:si>
    <x:t xml:space="preserve">CRU</x:t>
  </x:si>
  <x:si>
    <x:t xml:space="preserve">Solanacee, Ombrellifere</x:t>
  </x:si>
  <x:si>
    <x:t xml:space="preserve">Finocchio, Sedano, Legumi</x:t>
  </x:si>
  <x:si>
    <x:t xml:space="preserve">Irrigazioni frequenti con volumi non eccessivi</x:t>
  </x:si>
  <x:si>
    <x:t xml:space="preserve">Cavolo rapa</x:t>
  </x:si>
  <x:si>
    <x:t xml:space="preserve">Lattuga, Cipolla, Legumi</x:t>
  </x:si>
  <x:si>
    <x:t xml:space="preserve">Cece</x:t>
  </x:si>
  <x:si>
    <x:t xml:space="preserve">LEG</x:t>
  </x:si>
  <x:si>
    <x:t xml:space="preserve">Leguminose</x:t>
  </x:si>
  <x:si>
    <x:t xml:space="preserve">Scarsa</x:t>
  </x:si>
  <x:si>
    <x:t xml:space="preserve">Resistente alla siccità</x:t>
  </x:si>
  <x:si>
    <x:t xml:space="preserve">Cetriolo</x:t>
  </x:si>
  <x:si>
    <x:t xml:space="preserve">Legumi</x:t>
  </x:si>
  <x:si>
    <x:t xml:space="preserve">Cicorie da cespo</x:t>
  </x:si>
  <x:si>
    <x:t xml:space="preserve">Porro, Pisello</x:t>
  </x:si>
  <x:si>
    <x:t xml:space="preserve">Attendere sempre l'asciugatura del terreno</x:t>
  </x:si>
  <x:si>
    <x:t xml:space="preserve">Cipolla</x:t>
  </x:si>
  <x:si>
    <x:t xml:space="preserve">Cavolo, Bietola</x:t>
  </x:si>
  <x:si>
    <x:t xml:space="preserve">Cetriolo, Pomodoro</x:t>
  </x:si>
  <x:si>
    <x:t xml:space="preserve">In caso di siccità settimanalmente in ingrossamento</x:t>
  </x:si>
  <x:si>
    <x:t xml:space="preserve">Cipollotto</x:t>
  </x:si>
  <x:si>
    <x:t xml:space="preserve">Liliacee</x:t>
  </x:si>
  <x:si>
    <x:t xml:space="preserve">Patata, Fagiolo</x:t>
  </x:si>
  <x:si>
    <x:t xml:space="preserve">Indivia riccia e scarola</x:t>
  </x:si>
  <x:si>
    <x:t xml:space="preserve">Lattuga, Cicoria</x:t>
  </x:si>
  <x:si>
    <x:t xml:space="preserve">Ravanello</x:t>
  </x:si>
  <x:si>
    <x:t xml:space="preserve">Fagiolo e fagiolino</x:t>
  </x:si>
  <x:si>
    <x:t xml:space="preserve">Cucurbitacee, Bietola</x:t>
  </x:si>
  <x:si>
    <x:t xml:space="preserve">Broccoli, Cavoli</x:t>
  </x:si>
  <x:si>
    <x:t xml:space="preserve">Irrigazioni scarse ma frequenti</x:t>
  </x:si>
  <x:si>
    <x:t xml:space="preserve">Fava</x:t>
  </x:si>
  <x:si>
    <x:t xml:space="preserve">Esigenze idriche limitate. Irrigare solo con siccità</x:t>
  </x:si>
  <x:si>
    <x:t xml:space="preserve">Finocchio</x:t>
  </x:si>
  <x:si>
    <x:t xml:space="preserve">Ombrellifere</x:t>
  </x:si>
  <x:si>
    <x:t xml:space="preserve">Irrigazioni frequenti evitando i ristagni</x:t>
  </x:si>
  <x:si>
    <x:t xml:space="preserve">Fragola</x:t>
  </x:si>
  <x:si>
    <x:t xml:space="preserve">ROS</x:t>
  </x:si>
  <x:si>
    <x:t xml:space="preserve">Rosacee</x:t>
  </x:si>
  <x:si>
    <x:t xml:space="preserve">Cavolo</x:t>
  </x:si>
  <x:si>
    <x:t xml:space="preserve">Radicchio, Lattuga</x:t>
  </x:si>
  <x:si>
    <x:t xml:space="preserve">Spinacio, Porro</x:t>
  </x:si>
  <x:si>
    <x:t xml:space="preserve">Lattughini da taglio</x:t>
  </x:si>
  <x:si>
    <x:t xml:space="preserve">Mais dolce</x:t>
  </x:si>
  <x:si>
    <x:t xml:space="preserve">GRA</x:t>
  </x:si>
  <x:si>
    <x:t xml:space="preserve">Graminacee</x:t>
  </x:si>
  <x:si>
    <x:t xml:space="preserve">Alla formazione e ingrossamento della pannocchia</x:t>
  </x:si>
  <x:si>
    <x:t xml:space="preserve">Melanzana</x:t>
  </x:si>
  <x:si>
    <x:t xml:space="preserve">SOL</x:t>
  </x:si>
  <x:si>
    <x:t xml:space="preserve">Cicoria, Lattuga</x:t>
  </x:si>
  <x:si>
    <x:t xml:space="preserve">Teme carenza e ristagni. Innestata è meno delicata</x:t>
  </x:si>
  <x:si>
    <x:t xml:space="preserve">Melone</x:t>
  </x:si>
  <x:si>
    <x:t xml:space="preserve">Abbondare a inizio allegagione e fine ingrossamento</x:t>
  </x:si>
  <x:si>
    <x:t xml:space="preserve">MAL</x:t>
  </x:si>
  <x:si>
    <x:t xml:space="preserve">Malvacee</x:t>
  </x:si>
  <x:si>
    <x:t xml:space="preserve">Nei periodi aridi, irrigazioni scarse ma frequenti</x:t>
  </x:si>
  <x:si>
    <x:t xml:space="preserve">Patata</x:t>
  </x:si>
  <x:si>
    <x:t xml:space="preserve">Legumi, Cavoli</x:t>
  </x:si>
  <x:si>
    <x:t xml:space="preserve">Evitare carenze prima e durante la fioritura</x:t>
  </x:si>
  <x:si>
    <x:t xml:space="preserve">Peperone</x:t>
  </x:si>
  <x:si>
    <x:t xml:space="preserve">Teme carenze e ristagni. Consigliata baulatura</x:t>
  </x:si>
  <x:si>
    <x:t xml:space="preserve">Piselli</x:t>
  </x:si>
  <x:si>
    <x:t xml:space="preserve">Fagiolo</x:t>
  </x:si>
  <x:si>
    <x:t xml:space="preserve">Cicoria, Cavoli</x:t>
  </x:si>
  <x:si>
    <x:t xml:space="preserve">Esigenze idriche limitate. Irrigare con siccità</x:t>
  </x:si>
  <x:si>
    <x:t xml:space="preserve">Pomodoro</x:t>
  </x:si>
  <x:si>
    <x:t xml:space="preserve">Cucurbitacee, Asparago</x:t>
  </x:si>
  <x:si>
    <x:t xml:space="preserve">Abbondare nei periodi siccitosi</x:t>
  </x:si>
  <x:si>
    <x:t xml:space="preserve">Porro</x:t>
  </x:si>
  <x:si>
    <x:t xml:space="preserve">Cavolo, Cetriolo, Pomodoro</x:t>
  </x:si>
  <x:si>
    <x:t xml:space="preserve">Prezzemolo</x:t>
  </x:si>
  <x:si>
    <x:t xml:space="preserve">Crucifere</x:t>
  </x:si>
  <x:si>
    <x:t xml:space="preserve">Insalate, Pomodori, Porri</x:t>
  </x:si>
  <x:si>
    <x:t xml:space="preserve">Rucola</x:t>
  </x:si>
  <x:si>
    <x:t xml:space="preserve">Scalogno</x:t>
  </x:si>
  <x:si>
    <x:t xml:space="preserve">Settimanalmente solo in caso di siccità</x:t>
  </x:si>
  <x:si>
    <x:t xml:space="preserve">Sedano</x:t>
  </x:si>
  <x:si>
    <x:t xml:space="preserve">Spinacio</x:t>
  </x:si>
  <x:si>
    <x:t xml:space="preserve">Bietola, Spinacio</x:t>
  </x:si>
  <x:si>
    <x:t xml:space="preserve">Cavolo, Insalate, Zucchine</x:t>
  </x:si>
  <x:si>
    <x:t xml:space="preserve">Valeriana</x:t>
  </x:si>
  <x:si>
    <x:t xml:space="preserve">VAL</x:t>
  </x:si>
  <x:si>
    <x:t xml:space="preserve">Valerianacee</x:t>
  </x:si>
  <x:si>
    <x:t xml:space="preserve">Zucca</x:t>
  </x:si>
  <x:si>
    <x:t xml:space="preserve">Zucchino, Pomodoro</x:t>
  </x:si>
  <x:si>
    <x:t xml:space="preserve">Legumi, Lattuga</x:t>
  </x:si>
  <x:si>
    <x:t xml:space="preserve">Zucchino</x:t>
  </x:si>
  <x:si>
    <x:t xml:space="preserve">Cucurbitacee, Pomodoro</x:t>
  </x:si>
  <x:si>
    <x:t xml:space="preserve">Legumi, Lattuga, Cavoli</x:t>
  </x:si>
  <x:si>
    <x:t xml:space="preserve">Abbondare a giorni alterni nei periodi molto caldi</x:t>
  </x:si>
</x:sst>
</file>

<file path=xl/styles.xml><?xml version="1.0" encoding="utf-8"?>
<x:styleSheet xmlns:x="http://schemas.openxmlformats.org/spreadsheetml/2006/main">
  <x:numFmts count="1">
    <x:numFmt numFmtId="164" formatCode="General"/>
  </x:numFmts>
  <x:fonts count="12">
    <x:font>
      <x:sz val="11"/>
      <x:color theme="1"/>
      <x:name val="Calibri"/>
    </x:font>
    <x:font>
      <x:sz val="10"/>
      <x:name val="Arial"/>
    </x:font>
    <x:font>
      <x:sz val="10"/>
      <x:name val="Arial"/>
    </x:font>
    <x:font>
      <x:sz val="10"/>
      <x:name val="Arial"/>
    </x:font>
    <x:font>
      <x:b/>
      <x:sz val="14"/>
      <x:name val="Cambria"/>
    </x:font>
    <x:font>
      <x:b/>
      <x:sz val="9"/>
      <x:color rgb="FFFFFFFF"/>
      <x:name val="Cambria"/>
    </x:font>
    <x:font>
      <x:b/>
      <x:sz val="11"/>
      <x:name val="Cambria"/>
    </x:font>
    <x:font>
      <x:b/>
      <x:sz val="11"/>
      <x:color rgb="FFFFFFFF"/>
      <x:name val="Cambria"/>
    </x:font>
    <x:font>
      <x:b/>
      <x:sz val="15"/>
      <x:color rgb="FF1E4D29"/>
      <x:name val="Calibri"/>
    </x:font>
    <x:font>
      <x:i/>
      <x:sz val="11"/>
      <x:color rgb="FF4F5E50"/>
      <x:name val="Calibri"/>
    </x:font>
    <x:font>
      <x:b/>
      <x:sz val="11"/>
      <x:color rgb="FFFFFFFF"/>
      <x:name val="Calibri"/>
    </x:font>
    <x:font>
      <x:b/>
      <x:sz val="11"/>
      <x:color rgb="FF285D34"/>
      <x:name val="Calibri"/>
    </x:font>
  </x:fonts>
  <x:fills count="11">
    <x:fill>
      <x:patternFill patternType="none"/>
    </x:fill>
    <x:fill>
      <x:patternFill patternType="gray125"/>
    </x:fill>
    <x:fill>
      <x:patternFill patternType="solid">
        <x:fgColor rgb="FF4472C4"/>
      </x:patternFill>
    </x:fill>
    <x:fill>
      <x:patternFill patternType="solid">
        <x:fgColor rgb="FFD9D9D9"/>
      </x:patternFill>
    </x:fill>
    <x:fill>
      <x:patternFill patternType="solid">
        <x:fgColor rgb="FFF4B6B6"/>
      </x:patternFill>
    </x:fill>
    <x:fill>
      <x:patternFill patternType="solid">
        <x:fgColor rgb="FFC6E0B4"/>
      </x:patternFill>
    </x:fill>
    <x:fill>
      <x:patternFill patternType="solid">
        <x:fgColor rgb="FFFFE699"/>
      </x:patternFill>
    </x:fill>
    <x:fill>
      <x:patternFill patternType="solid">
        <x:fgColor rgb="FFD8F0D2"/>
      </x:patternFill>
    </x:fill>
    <x:fill>
      <x:patternFill patternType="solid">
        <x:fgColor rgb="FFF4F8F0"/>
      </x:patternFill>
    </x:fill>
    <x:fill>
      <x:patternFill patternType="solid">
        <x:fgColor rgb="FF2F6B3B"/>
      </x:patternFill>
    </x:fill>
    <x:fill>
      <x:patternFill patternType="solid">
        <x:fgColor rgb="FFE4F2DF"/>
      </x:patternFill>
    </x:fill>
  </x:fills>
  <x:borders count="4">
    <x:border diagonalUp="0" diagonalDown="0"/>
    <x:border diagonalUp="0" diagonalDown="0">
      <x:left style="thin">
        <x:color rgb="FFD4D1CA"/>
      </x:left>
      <x:right style="thin">
        <x:color rgb="FFD4D1CA"/>
      </x:right>
      <x:top style="thin">
        <x:color rgb="FFD4D1CA"/>
      </x:top>
      <x:bottom style="thin">
        <x:color rgb="FFD4D1CA"/>
      </x:bottom>
    </x:border>
    <x:border diagonalUp="0" diagonalDown="0"/>
    <x:border diagonalUp="0" diagonalDown="0">
      <x:left style="thin">
        <x:color rgb="FFD4D1CA"/>
      </x:left>
      <x:right style="thin">
        <x:color rgb="FFD4D1CA"/>
      </x:right>
      <x:top style="thin">
        <x:color rgb="FFD4D1CA"/>
      </x:top>
      <x:bottom style="thin">
        <x:color rgb="FFD4D1CA"/>
      </x:bottom>
    </x:border>
  </x:borders>
  <x:cellStyleXfs count="20">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83">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2" borderId="0" xfId="0" applyFont="1" applyBorder="0" applyAlignment="1">
      <x:alignment horizontal="center" vertical="center" wrapText="1"/>
    </x:xf>
    <x:xf numFmtId="164" fontId="5" fillId="2" borderId="0" xfId="0" applyFont="1" applyBorder="0" applyAlignment="1">
      <x:alignment horizontal="left" vertical="center" wrapText="0"/>
    </x:xf>
    <x:xf numFmtId="164" fontId="0" fillId="3" borderId="1" xfId="0" applyFont="1" applyBorder="1" applyAlignment="1">
      <x:alignment horizontal="center" vertical="center" wrapText="0"/>
    </x:xf>
    <x:xf numFmtId="164" fontId="0" fillId="4" borderId="1" xfId="0" applyFont="1" applyBorder="1" applyAlignment="1">
      <x:alignment horizontal="center" vertical="center" wrapText="0"/>
    </x:xf>
    <x:xf numFmtId="164" fontId="0" fillId="0" borderId="1" xfId="0" applyFont="0" applyBorder="1" applyAlignment="1">
      <x:alignment horizontal="center" vertical="center" wrapText="0"/>
    </x:xf>
    <x:xf numFmtId="164" fontId="0" fillId="5" borderId="1" xfId="0" applyFont="1" applyBorder="1" applyAlignment="1">
      <x:alignment horizontal="center" vertical="center" wrapText="0"/>
    </x:xf>
    <x:xf numFmtId="164" fontId="0" fillId="6" borderId="1" xfId="0" applyFont="1" applyBorder="1" applyAlignment="1">
      <x:alignment horizontal="center" vertical="center" wrapText="0"/>
    </x:xf>
    <x:xf numFmtId="164" fontId="6" fillId="5" borderId="0" xfId="0" applyFont="1" applyBorder="0" applyAlignment="1">
      <x:alignment horizontal="center" vertical="bottom" wrapText="0"/>
    </x:xf>
    <x:xf numFmtId="164" fontId="6" fillId="4" borderId="0" xfId="0" applyFont="1" applyBorder="0" applyAlignment="1">
      <x:alignment horizontal="center" vertical="bottom" wrapText="0"/>
    </x:xf>
    <x:xf numFmtId="164" fontId="6" fillId="6" borderId="0" xfId="0" applyFont="1" applyBorder="0" applyAlignment="1">
      <x:alignment horizontal="center" vertical="bottom" wrapText="0"/>
    </x:xf>
    <x:xf numFmtId="164" fontId="6" fillId="3" borderId="0" xfId="0" applyFont="1" applyBorder="0" applyAlignment="1">
      <x:alignment horizontal="center" vertical="bottom" wrapText="0"/>
    </x:xf>
    <x:xf numFmtId="164" fontId="6" fillId="0" borderId="0" xfId="0" applyFont="1" applyBorder="0" applyAlignment="1">
      <x:alignment horizontal="center" vertical="bottom" wrapText="0"/>
    </x:xf>
    <x:xf numFmtId="164" fontId="6" fillId="0" borderId="0" xfId="0" applyFont="1" applyBorder="0" applyAlignment="0">
      <x:alignment horizontal="general" vertical="bottom" wrapText="0"/>
    </x:xf>
    <x:xf numFmtId="164" fontId="7" fillId="2" borderId="0" xfId="0" applyFont="1" applyBorder="0" applyAlignment="0">
      <x:alignment horizontal="general" vertical="bottom" wrapText="0"/>
    </x:xf>
    <x:xf numFmtId="164" fontId="0" fillId="0" borderId="0" xfId="0" applyFont="1" applyBorder="0" applyAlignment="1">
      <x:alignment horizontal="general" vertical="bottom" wrapText="1"/>
    </x:xf>
    <x:xf numFmtId="164" fontId="7" fillId="2" borderId="0" xfId="0" applyFont="1" applyBorder="0" applyAlignment="1">
      <x:alignment horizontal="center" vertical="center" wrapText="1"/>
    </x:xf>
    <x:xf numFmtId="164" fontId="0" fillId="0" borderId="0" xfId="0" applyFont="1" applyBorder="0" applyAlignment="1">
      <x:alignment horizontal="left" vertical="bottom" wrapText="1"/>
    </x:xf>
    <x:xf numFmtId="164" fontId="0" fillId="0" borderId="0" xfId="0" applyFont="0" applyBorder="0" applyAlignment="1">
      <x:alignment horizontal="center" vertical="bottom" wrapText="0"/>
    </x:xf>
    <x:xf numFmtId="164" fontId="0" fillId="0" borderId="2" xfId="0" applyNumberFormat="1" applyFont="1" applyFill="1" applyBorder="1" applyAlignment="1">
      <x:alignment horizontal="general" vertical="bottom" wrapText="0"/>
    </x:xf>
    <x:xf numFmtId="164" fontId="4" fillId="0" borderId="2" xfId="0" applyNumberFormat="1" applyFont="1" applyFill="1" applyBorder="1" applyAlignment="1">
      <x:alignment horizontal="general" vertical="bottom" wrapText="0"/>
    </x:xf>
    <x:xf numFmtId="164" fontId="5" fillId="2" borderId="2" xfId="0" applyNumberFormat="1" applyFont="1" applyFill="1" applyBorder="1" applyAlignment="1">
      <x:alignment horizontal="center" vertical="center" wrapText="1"/>
    </x:xf>
    <x:xf numFmtId="164" fontId="5" fillId="2" borderId="2" xfId="0" applyNumberFormat="1" applyFont="1" applyFill="1" applyBorder="1" applyAlignment="1">
      <x:alignment horizontal="left" vertical="center" wrapText="0"/>
    </x:xf>
    <x:xf numFmtId="164" fontId="0" fillId="3" borderId="3" xfId="0" applyNumberFormat="1" applyFont="1" applyFill="1" applyBorder="1" applyAlignment="1">
      <x:alignment horizontal="center" vertical="center" wrapText="0"/>
    </x:xf>
    <x:xf numFmtId="164" fontId="0" fillId="4" borderId="3" xfId="0" applyNumberFormat="1" applyFont="1" applyFill="1" applyBorder="1" applyAlignment="1">
      <x:alignment horizontal="center" vertical="center" wrapText="0"/>
    </x:xf>
    <x:xf numFmtId="164" fontId="0" fillId="0" borderId="3" xfId="0" applyNumberFormat="1" applyFont="1" applyFill="1" applyBorder="1" applyAlignment="1">
      <x:alignment horizontal="center" vertical="center" wrapText="0"/>
    </x:xf>
    <x:xf numFmtId="164" fontId="0" fillId="5" borderId="3" xfId="0" applyNumberFormat="1" applyFont="1" applyFill="1" applyBorder="1" applyAlignment="1">
      <x:alignment horizontal="center" vertical="center" wrapText="0"/>
    </x:xf>
    <x:xf numFmtId="164" fontId="0" fillId="6" borderId="3" xfId="0" applyNumberFormat="1" applyFont="1" applyFill="1" applyBorder="1" applyAlignment="1">
      <x:alignment horizontal="center" vertical="center" wrapText="0"/>
    </x:xf>
    <x:xf numFmtId="164" fontId="6" fillId="5" borderId="2" xfId="0" applyNumberFormat="1" applyFont="1" applyFill="1" applyBorder="1" applyAlignment="1">
      <x:alignment horizontal="center" vertical="bottom" wrapText="0"/>
    </x:xf>
    <x:xf numFmtId="164" fontId="6" fillId="4" borderId="2" xfId="0" applyNumberFormat="1" applyFont="1" applyFill="1" applyBorder="1" applyAlignment="1">
      <x:alignment horizontal="center" vertical="bottom" wrapText="0"/>
    </x:xf>
    <x:xf numFmtId="164" fontId="6" fillId="6" borderId="2" xfId="0" applyNumberFormat="1" applyFont="1" applyFill="1" applyBorder="1" applyAlignment="1">
      <x:alignment horizontal="center" vertical="bottom" wrapText="0"/>
    </x:xf>
    <x:xf numFmtId="164" fontId="6" fillId="3" borderId="2" xfId="0" applyNumberFormat="1" applyFont="1" applyFill="1" applyBorder="1" applyAlignment="1">
      <x:alignment horizontal="center" vertical="bottom" wrapText="0"/>
    </x:xf>
    <x:xf numFmtId="164" fontId="6" fillId="0" borderId="2" xfId="0" applyNumberFormat="1" applyFont="1" applyFill="1" applyBorder="1" applyAlignment="1">
      <x:alignment horizontal="center" vertical="bottom" wrapText="0"/>
    </x:xf>
    <x:xf numFmtId="164" fontId="6" fillId="0" borderId="2" xfId="0" applyNumberFormat="1" applyFont="1" applyFill="1" applyBorder="1" applyAlignment="1">
      <x:alignment horizontal="general" vertical="bottom" wrapText="0"/>
    </x:xf>
    <x:xf numFmtId="164" fontId="7" fillId="2" borderId="2" xfId="0" applyNumberFormat="1" applyFont="1" applyFill="1" applyBorder="1" applyAlignment="1">
      <x:alignment horizontal="general" vertical="bottom" wrapText="0"/>
    </x:xf>
    <x:xf numFmtId="164" fontId="0" fillId="0" borderId="2" xfId="0" applyNumberFormat="1" applyFont="1" applyFill="1" applyBorder="1" applyAlignment="1">
      <x:alignment horizontal="general" vertical="bottom" wrapText="1"/>
    </x:xf>
    <x:xf numFmtId="164" fontId="7" fillId="2" borderId="2" xfId="0" applyNumberFormat="1" applyFont="1" applyFill="1" applyBorder="1" applyAlignment="1">
      <x:alignment horizontal="center" vertical="center" wrapText="1"/>
    </x:xf>
    <x:xf numFmtId="164" fontId="0" fillId="0" borderId="2" xfId="0" applyNumberFormat="1" applyFont="1" applyFill="1" applyBorder="1" applyAlignment="1">
      <x:alignment horizontal="left" vertical="bottom" wrapText="1"/>
    </x:xf>
    <x:xf numFmtId="164" fontId="0" fillId="0" borderId="2" xfId="0" applyNumberFormat="1" applyFont="1" applyFill="1" applyBorder="1" applyAlignment="1">
      <x:alignment horizontal="center" vertical="bottom" wrapText="0"/>
    </x:xf>
    <x:xf numFmtId="164" fontId="0" fillId="7" borderId="0" xfId="0" applyNumberFormat="1" applyFont="1" applyFill="1" applyBorder="1" applyAlignment="1">
      <x:alignment horizontal="general" vertical="bottom" wrapText="0"/>
    </x:xf>
    <x:xf numFmtId="164" fontId="8" fillId="7" borderId="0" xfId="0" applyNumberFormat="1" applyFont="1" applyFill="1" applyBorder="1" applyAlignment="1">
      <x:alignment horizontal="general" vertical="bottom" wrapText="0"/>
    </x:xf>
    <x:xf numFmtId="164" fontId="8" fillId="7" borderId="0" xfId="0" applyNumberFormat="1" applyFont="1" applyFill="1" applyBorder="1" applyAlignment="1">
      <x:alignment horizontal="general" vertical="center" wrapText="0"/>
    </x:xf>
    <x:xf numFmtId="164" fontId="0" fillId="7" borderId="2" xfId="0" applyNumberFormat="1" applyFont="1" applyFill="1" applyBorder="1" applyAlignment="1">
      <x:alignment horizontal="general" vertical="bottom" wrapText="0"/>
    </x:xf>
    <x:xf numFmtId="164" fontId="8" fillId="7" borderId="2" xfId="0" applyNumberFormat="1" applyFont="1" applyFill="1" applyBorder="1" applyAlignment="1">
      <x:alignment horizontal="general" vertical="bottom" wrapText="0"/>
    </x:xf>
    <x:xf numFmtId="164" fontId="8" fillId="7" borderId="2" xfId="0" applyNumberFormat="1" applyFont="1" applyFill="1" applyBorder="1" applyAlignment="1">
      <x:alignment horizontal="general" vertical="center" wrapText="0"/>
    </x:xf>
    <x:xf numFmtId="164" fontId="0" fillId="8" borderId="0" xfId="0" applyNumberFormat="1" applyFont="1" applyFill="1" applyBorder="1" applyAlignment="1">
      <x:alignment horizontal="general" vertical="bottom" wrapText="0"/>
    </x:xf>
    <x:xf numFmtId="164" fontId="9" fillId="8" borderId="0" xfId="0" applyNumberFormat="1" applyFont="1" applyFill="1" applyBorder="1" applyAlignment="1">
      <x:alignment horizontal="general" vertical="bottom" wrapText="0"/>
    </x:xf>
    <x:xf numFmtId="164" fontId="9" fillId="8" borderId="0" xfId="0" applyNumberFormat="1" applyFont="1" applyFill="1" applyBorder="1" applyAlignment="1">
      <x:alignment horizontal="general" vertical="bottom" wrapText="1"/>
    </x:xf>
    <x:xf numFmtId="164" fontId="9" fillId="8" borderId="0" xfId="0" applyNumberFormat="1" applyFont="1" applyFill="1" applyBorder="1" applyAlignment="1">
      <x:alignment horizontal="general" vertical="center" wrapText="1"/>
    </x:xf>
    <x:xf numFmtId="164" fontId="0" fillId="8" borderId="2" xfId="0" applyNumberFormat="1" applyFont="1" applyFill="1" applyBorder="1" applyAlignment="1">
      <x:alignment horizontal="general" vertical="bottom" wrapText="0"/>
    </x:xf>
    <x:xf numFmtId="164" fontId="9" fillId="8" borderId="2" xfId="0" applyNumberFormat="1" applyFont="1" applyFill="1" applyBorder="1" applyAlignment="1">
      <x:alignment horizontal="general" vertical="bottom" wrapText="0"/>
    </x:xf>
    <x:xf numFmtId="164" fontId="9" fillId="8" borderId="2" xfId="0" applyNumberFormat="1" applyFont="1" applyFill="1" applyBorder="1" applyAlignment="1">
      <x:alignment horizontal="general" vertical="bottom" wrapText="1"/>
    </x:xf>
    <x:xf numFmtId="164" fontId="9" fillId="8" borderId="2" xfId="0" applyNumberFormat="1" applyFont="1" applyFill="1" applyBorder="1" applyAlignment="1">
      <x:alignment horizontal="general" vertical="center" wrapText="1"/>
    </x:xf>
    <x:xf numFmtId="164" fontId="0" fillId="9" borderId="0" xfId="0" applyNumberFormat="1" applyFont="1" applyFill="1" applyBorder="1" applyAlignment="1">
      <x:alignment horizontal="general" vertical="bottom" wrapText="0"/>
    </x:xf>
    <x:xf numFmtId="164" fontId="10" fillId="9" borderId="0" xfId="0" applyNumberFormat="1" applyFont="1" applyFill="1" applyBorder="1" applyAlignment="1">
      <x:alignment horizontal="general" vertical="bottom" wrapText="0"/>
    </x:xf>
    <x:xf numFmtId="164" fontId="10" fillId="9" borderId="0" xfId="0" applyNumberFormat="1" applyFont="1" applyFill="1" applyBorder="1" applyAlignment="1">
      <x:alignment horizontal="general" vertical="bottom" wrapText="1"/>
    </x:xf>
    <x:xf numFmtId="164" fontId="10" fillId="9" borderId="0" xfId="0" applyNumberFormat="1" applyFont="1" applyFill="1" applyBorder="1" applyAlignment="1">
      <x:alignment horizontal="center" vertical="bottom" wrapText="1"/>
    </x:xf>
    <x:xf numFmtId="164" fontId="10" fillId="9" borderId="0" xfId="0" applyNumberFormat="1" applyFont="1" applyFill="1" applyBorder="1" applyAlignment="1">
      <x:alignment horizontal="center" vertical="center" wrapText="1"/>
    </x:xf>
    <x:xf numFmtId="164" fontId="0" fillId="9" borderId="2" xfId="0" applyNumberFormat="1" applyFont="1" applyFill="1" applyBorder="1" applyAlignment="1">
      <x:alignment horizontal="general" vertical="bottom" wrapText="0"/>
    </x:xf>
    <x:xf numFmtId="164" fontId="10" fillId="9" borderId="2" xfId="0" applyNumberFormat="1" applyFont="1" applyFill="1" applyBorder="1" applyAlignment="1">
      <x:alignment horizontal="general" vertical="bottom" wrapText="0"/>
    </x:xf>
    <x:xf numFmtId="164" fontId="10" fillId="9" borderId="2" xfId="0" applyNumberFormat="1" applyFont="1" applyFill="1" applyBorder="1" applyAlignment="1">
      <x:alignment horizontal="general" vertical="bottom" wrapText="1"/>
    </x:xf>
    <x:xf numFmtId="164" fontId="10" fillId="9" borderId="2" xfId="0" applyNumberFormat="1" applyFont="1" applyFill="1" applyBorder="1" applyAlignment="1">
      <x:alignment horizontal="center" vertical="bottom" wrapText="1"/>
    </x:xf>
    <x:xf numFmtId="164" fontId="10" fillId="9" borderId="2"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2" xfId="0" applyNumberFormat="1" applyFont="1" applyFill="1" applyBorder="1" applyAlignment="1">
      <x:alignment horizontal="general" vertical="top" wrapText="1"/>
    </x:xf>
    <x:xf numFmtId="164" fontId="0" fillId="0" borderId="0" xfId="0" applyFont="0" applyBorder="0" applyAlignment="0">
      <x:alignment horizontal="general" vertical="bottom" wrapText="0"/>
      <x:extLst>
        <x:ext uri="{C7286773-470A-42A8-94C5-96B5CB345126}">
          <xfpb:xfComplement xmlns:xfpb="http://schemas.microsoft.com/office/spreadsheetml/2022/featurepropertybag" i="0"/>
        </x:ext>
      </x:extLst>
    </x:xf>
    <x:xf numFmtId="164" fontId="0" fillId="0" borderId="2"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0" fillId="0"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0" fillId="0" borderId="2"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0" fillId="0"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0" fillId="0" borderId="2"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0" fillId="9" borderId="0" xfId="0" applyNumberFormat="1" applyFont="1" applyFill="1" applyBorder="1" applyAlignment="1">
      <x:alignment horizontal="center" vertical="top" wrapText="1"/>
    </x:xf>
    <x:xf numFmtId="164" fontId="10" fillId="9" borderId="2" xfId="0" applyNumberFormat="1" applyFont="1" applyFill="1" applyBorder="1" applyAlignment="1">
      <x:alignment horizontal="center" vertical="top" wrapText="1"/>
    </x:xf>
    <x:xf numFmtId="164" fontId="0" fillId="10" borderId="0" xfId="0" applyNumberFormat="1" applyFont="1" applyFill="1" applyBorder="1" applyAlignment="1">
      <x:alignment horizontal="general" vertical="bottom" wrapText="0"/>
    </x:xf>
    <x:xf numFmtId="164" fontId="11" fillId="10" borderId="0" xfId="0" applyNumberFormat="1" applyFont="1" applyFill="1" applyBorder="1" applyAlignment="1">
      <x:alignment horizontal="general" vertical="bottom" wrapText="0"/>
    </x:xf>
    <x:xf numFmtId="164" fontId="11" fillId="10" borderId="0" xfId="0" applyNumberFormat="1" applyFont="1" applyFill="1" applyBorder="1" applyAlignment="1">
      <x:alignment horizontal="general" vertical="bottom" wrapText="1"/>
    </x:xf>
    <x:xf numFmtId="164" fontId="11" fillId="10" borderId="0" xfId="0" applyNumberFormat="1" applyFont="1" applyFill="1" applyBorder="1" applyAlignment="1">
      <x:alignment horizontal="general" vertical="center" wrapText="1"/>
    </x:xf>
    <x:xf numFmtId="164" fontId="0" fillId="10" borderId="2" xfId="0" applyNumberFormat="1" applyFont="1" applyFill="1" applyBorder="1" applyAlignment="1">
      <x:alignment horizontal="general" vertical="bottom" wrapText="0"/>
    </x:xf>
    <x:xf numFmtId="164" fontId="11" fillId="10" borderId="2" xfId="0" applyNumberFormat="1" applyFont="1" applyFill="1" applyBorder="1" applyAlignment="1">
      <x:alignment horizontal="general" vertical="bottom" wrapText="0"/>
    </x:xf>
    <x:xf numFmtId="164" fontId="11" fillId="10" borderId="2" xfId="0" applyNumberFormat="1" applyFont="1" applyFill="1" applyBorder="1" applyAlignment="1">
      <x:alignment horizontal="general" vertical="bottom" wrapText="1"/>
    </x:xf>
    <x:xf numFmtId="164" fontId="11" fillId="10" borderId="2" xfId="0" applyNumberFormat="1" applyFont="1" applyFill="1" applyBorder="1" applyAlignment="1">
      <x:alignment horizontal="general" vertical="center" wrapText="1"/>
    </x:xf>
  </x:cellXfs>
  <x:cellStyles count="6">
    <x:cellStyle name="Normal" xfId="0"/>
    <x:cellStyle name="Comma" xfId="15"/>
    <x:cellStyle name="Comma [0]" xfId="16"/>
    <x:cellStyle name="Currency" xfId="17"/>
    <x:cellStyle name="Currency [0]" xfId="18"/>
    <x:cellStyle name="Percent" xfId="19"/>
  </x:cellStyles>
  <x:dxfs count="7">
    <x:dxf>
      <x:fill>
        <x:patternFill>
          <x:bgColor rgb="FF4472C4"/>
        </x:patternFill>
      </x:fill>
    </x:dxf>
    <x:dxf>
      <x:fill>
        <x:patternFill>
          <x:bgColor rgb="FF000000"/>
        </x:patternFill>
      </x:fill>
    </x:dxf>
    <x:dxf>
      <x:fill>
        <x:patternFill>
          <x:bgColor rgb="FF000000"/>
        </x:patternFill>
      </x:fill>
    </x:dxf>
    <x:dxf>
      <x:fill>
        <x:patternFill>
          <x:bgColor rgb="FFFFFFFF"/>
        </x:patternFill>
      </x:fill>
    </x:dxf>
    <x:dxf>
      <x:font>
        <x:b/>
        <x:color rgb="FF24592D"/>
      </x:font>
      <x:fill>
        <x:patternFill patternType="solid">
          <x:bgColor rgb="FFDFF2D9"/>
        </x:patternFill>
      </x:fill>
    </x:dxf>
    <x:dxf>
      <x:font>
        <x:b/>
        <x:color rgb="FF7B201E"/>
      </x:font>
      <x:fill>
        <x:patternFill patternType="solid">
          <x:bgColor rgb="FFFDE8E7"/>
        </x:patternFill>
      </x:fill>
    </x:dxf>
    <x:dxf>
      <x:font>
        <x:b/>
        <x:color rgb="FF604B00"/>
      </x:font>
      <x:fill>
        <x:patternFill patternType="solid">
          <x:bgColor rgb="FFFFF1B8"/>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D4D1CA"/>
      <x:rgbColor rgb="FF808080"/>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6E0B4"/>
      <x:rgbColor rgb="FFFFE699"/>
      <x:rgbColor rgb="FF99CCFF"/>
      <x:rgbColor rgb="FFFF99CC"/>
      <x:rgbColor rgb="FFCC99FF"/>
      <x:rgbColor rgb="FFF4B6B6"/>
      <x:rgbColor rgb="FF4472C4"/>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70e264cf9194bf7" /><Relationship Type="http://schemas.openxmlformats.org/officeDocument/2006/relationships/theme" Target="/xl/theme/theme1.xml" Id="Rebf36da73c2340f0" /><Relationship Type="http://schemas.microsoft.com/office/2022/11/relationships/FeaturePropertyBag" Target="/xl/featurePropertyBag/featurePropertyBag.xml" Id="R409b49601f8c49ba" /><Relationship Type="http://schemas.openxmlformats.org/officeDocument/2006/relationships/sharedStrings" Target="/xl/sharedStrings.xml" Id="Rf40150b26d2b4488" /><Relationship Type="http://schemas.openxmlformats.org/officeDocument/2006/relationships/worksheet" Target="/xl/worksheets/sheet1.xml" Id="R2b62f16af34b4c9f" /><Relationship Type="http://schemas.openxmlformats.org/officeDocument/2006/relationships/worksheet" Target="/xl/worksheets/sheet2.xml" Id="Rb3c859a9d80d498d" /><Relationship Type="http://schemas.openxmlformats.org/officeDocument/2006/relationships/worksheet" Target="/xl/worksheets/sheet3.xml" Id="R703cc4de031946ac" /><Relationship Type="http://schemas.openxmlformats.org/officeDocument/2006/relationships/worksheet" Target="/xl/worksheets/sheet4.xml" Id="R10e5f95db672459d" /><Relationship Type="http://schemas.openxmlformats.org/officeDocument/2006/relationships/worksheet" Target="/xl/worksheets/sheet5.xml" Id="Rc00d425114884e00" /><Relationship Type="http://schemas.openxmlformats.org/officeDocument/2006/relationships/worksheet" Target="/xl/worksheets/sheet6.xml" Id="R81f9aee1e84d4291" /><Relationship Type="http://schemas.openxmlformats.org/officeDocument/2006/relationships/worksheet" Target="/xl/worksheets/sheet7.xml" Id="R80cdd361b91d4ee4" /><Relationship Type="http://schemas.openxmlformats.org/officeDocument/2006/relationships/worksheet" Target="/xl/worksheets/sheet8.xml" Id="R8cbb3540459a43aa" /><Relationship Type="http://schemas.openxmlformats.org/officeDocument/2006/relationships/worksheet" Target="/xl/worksheets/sheet9.xml" Id="R96bafb52df774802" /><Relationship Type="http://schemas.openxmlformats.org/officeDocument/2006/relationships/worksheet" Target="/xl/worksheets/sheet10.xml" Id="R5096922b624047aa" /><Relationship Type="http://schemas.openxmlformats.org/officeDocument/2006/relationships/worksheet" Target="/xl/worksheets/sheet11.xml" Id="R50758212d80e41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blEntita" displayName="TblEntita" ref="A4:F54" headerRowCount="1">
  <x:tableColumns count="6">
    <x:tableColumn id="1" name="Entita_ID"/>
    <x:tableColumn id="2" name="Nome canonico EN"/>
    <x:tableColumn id="3" name="Nome visualizzato IT"/>
    <x:tableColumn id="4" name="Livello"/>
    <x:tableColumn id="5" name="Origine"/>
    <x:tableColumn id="6" name="Nota"/>
  </x:tableColumns>
  <x:tableStyleInfo name="TableStyleMedium2" showRowStripes="1"/>
</x:table>
</file>

<file path=xl/tables/table2.xml><?xml version="1.0" encoding="utf-8"?>
<x:table xmlns:x="http://schemas.openxmlformats.org/spreadsheetml/2006/main" id="2" name="TblRelazioni" displayName="TblRelazioni" ref="A4:N228" headerRowCount="1">
  <x:tableColumns count="14">
    <x:tableColumn id="1" name="Relazione_ID"/>
    <x:tableColumn id="2" name="Entita1_ID"/>
    <x:tableColumn id="3" name="Entita1_IT"/>
    <x:tableColumn id="4" name="Entita1_EN"/>
    <x:tableColumn id="5" name="Entita2_ID"/>
    <x:tableColumn id="6" name="Entita2_IT"/>
    <x:tableColumn id="7" name="Entita2_EN"/>
    <x:tableColumn id="8" name="Codice"/>
    <x:tableColumn id="9" name="Valutazione"/>
    <x:tableColumn id="10" name="Direzione conservata"/>
    <x:tableColumn id="11" name="Fonte attribuita"/>
    <x:tableColumn id="12" name="Livello evidenza nel file"/>
    <x:tableColumn id="13" name="Uso nell'app"/>
    <x:tableColumn id="14" name="Nota direzionalità"/>
  </x:tableColumns>
  <x:tableStyleInfo name="TableStyleMedium2" showRowStripes="1"/>
</x:table>
</file>

<file path=xl/tables/table3.xml><?xml version="1.0" encoding="utf-8"?>
<x:table xmlns:x="http://schemas.openxmlformats.org/spreadsheetml/2006/main" id="3" name="TblSpecieCura" displayName="TblSpecieCura" ref="A4:T46" headerRowCount="1">
  <x:tableColumns count="20">
    <x:tableColumn id="1" name="Specie_ID"/>
    <x:tableColumn id="2" name="Specie IT"/>
    <x:tableColumn id="3" name="Entita_ID"/>
    <x:tableColumn id="4" name="Canonico EN"/>
    <x:tableColumn id="5" name="Famiglia"/>
    <x:tableColumn id="6" name="Non trapiantare dopo"/>
    <x:tableColumn id="7" name="Favorevole trapianto dopo"/>
    <x:tableColumn id="8" name="Anni ritorno"/>
    <x:tableColumn id="9" name="Tollera mezz'ombra"/>
    <x:tableColumn id="10" name="Distanza file cm"/>
    <x:tableColumn id="11" name="Distanza fila cm"/>
    <x:tableColumn id="12" name="Concimazione organica"/>
    <x:tableColumn id="13" name="In buca"/>
    <x:tableColumn id="14" name="Mensile dopo trapianto"/>
    <x:tableColumn id="15" name="Riduzione prima raccolta"/>
    <x:tableColumn id="16" name="Sospensione prima raccolta"/>
    <x:tableColumn id="17" name="Irrigazione"/>
    <x:tableColumn id="18" name="Modalità impianto app"/>
    <x:tableColumn id="19" name="Origine modalità"/>
    <x:tableColumn id="20" name="Fonte"/>
  </x:tableColumns>
  <x:tableStyleInfo name="TableStyleMedium2" showRowStripes="1"/>
</x:table>
</file>

<file path=xl/tables/table4.xml><?xml version="1.0" encoding="utf-8"?>
<x:table xmlns:x="http://schemas.openxmlformats.org/spreadsheetml/2006/main" id="4" name="TblAlias" displayName="TblAlias" ref="A4:F96" headerRowCount="1">
  <x:tableColumns count="6">
    <x:tableColumn id="1" name="Alias_ID"/>
    <x:tableColumn id="2" name="Nome visualizzato"/>
    <x:tableColumn id="3" name="Specie_ID"/>
    <x:tableColumn id="4" name="Entita_ID"/>
    <x:tableColumn id="5" name="Canonico EN"/>
    <x:tableColumn id="6" name="Tipo alias"/>
  </x:tableColumns>
  <x:tableStyleInfo name="TableStyleMedium2" showRowStripes="1"/>
</x:table>
</file>

<file path=xl/tables/table5.xml><?xml version="1.0" encoding="utf-8"?>
<x:table xmlns:x="http://schemas.openxmlformats.org/spreadsheetml/2006/main" id="5" name="TblFonti" displayName="TblFonti" ref="A4:E7" headerRowCount="1">
  <x:tableColumns count="5">
    <x:tableColumn id="1" name="Fonte_ID"/>
    <x:tableColumn id="2" name="Titolo"/>
    <x:tableColumn id="3" name="Editore/Origine"/>
    <x:tableColumn id="4" name="URL"/>
    <x:tableColumn id="5" name="Limiti e uso"/>
  </x:tableColumns>
  <x:tableStyleInfo name="TableStyleMedium2" showRowStripes="1"/>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c9377fe11aad466e" /></Relationships>
</file>

<file path=xl/worksheets/_rels/sheet7.xml.rels>&#65279;<?xml version="1.0" encoding="utf-8"?><Relationships xmlns="http://schemas.openxmlformats.org/package/2006/relationships"><Relationship Type="http://schemas.openxmlformats.org/officeDocument/2006/relationships/table" Target="/xl/tables/table2.xml" Id="R2f83caa1ab0d4ebb" /></Relationships>
</file>

<file path=xl/worksheets/_rels/sheet8.xml.rels>&#65279;<?xml version="1.0" encoding="utf-8"?><Relationships xmlns="http://schemas.openxmlformats.org/package/2006/relationships"><Relationship Type="http://schemas.openxmlformats.org/officeDocument/2006/relationships/table" Target="/xl/tables/table3.xml" Id="R081526f4bf144aa5" /></Relationships>
</file>

<file path=xl/worksheets/_rels/sheet9.xml.rels>&#65279;<?xml version="1.0" encoding="utf-8"?><Relationships xmlns="http://schemas.openxmlformats.org/package/2006/relationships"><Relationship Type="http://schemas.openxmlformats.org/officeDocument/2006/relationships/table" Target="/xl/tables/table4.xml" Id="R3afd46fe99344a01" /></Relationships>
</file>

<file path=xl/worksheets/_rels/sheet10.xml.rels>&#65279;<?xml version="1.0" encoding="utf-8"?><Relationships xmlns="http://schemas.openxmlformats.org/package/2006/relationships"><Relationship Type="http://schemas.openxmlformats.org/officeDocument/2006/relationships/table" Target="/xl/tables/table5.xml" Id="R3d3eeaaf77014d9e"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3" hidden="0" customWidth="1"/>
    <x:col min="2" max="2" width="22" hidden="0" customWidth="1"/>
    <x:col min="3" max="52" width="4" hidden="0" customWidth="1"/>
  </x:cols>
  <x:sheetData>
    <x:row r="1" ht="17.350000381469727" hidden="0">
      <x:c r="B1" s="1" t="s">
        <x:v>0</x:v>
      </x:c>
    </x:row>
    <x:row r="2" ht="99.75" hidden="0" customHeight="1">
      <x:c r="C2" s="2" t="s">
        <x:v>1</x:v>
      </x:c>
      <x:c r="D2" s="2" t="s">
        <x:v>2</x:v>
      </x:c>
      <x:c r="E2" s="2" t="s">
        <x:v>3</x:v>
      </x:c>
      <x:c r="F2" s="2" t="s">
        <x:v>4</x:v>
      </x:c>
      <x:c r="G2" s="2" t="s">
        <x:v>5</x:v>
      </x:c>
      <x:c r="H2" s="2" t="s">
        <x:v>6</x:v>
      </x:c>
      <x:c r="I2" s="2" t="s">
        <x:v>7</x:v>
      </x:c>
      <x:c r="J2" s="2" t="s">
        <x:v>8</x:v>
      </x:c>
      <x:c r="K2" s="2" t="s">
        <x:v>9</x:v>
      </x:c>
      <x:c r="L2" s="2" t="s">
        <x:v>10</x:v>
      </x:c>
      <x:c r="M2" s="2" t="s">
        <x:v>11</x:v>
      </x:c>
      <x:c r="N2" s="2" t="s">
        <x:v>12</x:v>
      </x:c>
      <x:c r="O2" s="2" t="s">
        <x:v>13</x:v>
      </x:c>
      <x:c r="P2" s="2" t="s">
        <x:v>14</x:v>
      </x:c>
      <x:c r="Q2" s="2" t="s">
        <x:v>15</x:v>
      </x:c>
      <x:c r="R2" s="2" t="s">
        <x:v>16</x:v>
      </x:c>
      <x:c r="S2" s="2" t="s">
        <x:v>17</x:v>
      </x:c>
      <x:c r="T2" s="2" t="s">
        <x:v>18</x:v>
      </x:c>
      <x:c r="U2" s="2" t="s">
        <x:v>19</x:v>
      </x:c>
      <x:c r="V2" s="2" t="s">
        <x:v>20</x:v>
      </x:c>
      <x:c r="W2" s="2" t="s">
        <x:v>21</x:v>
      </x:c>
      <x:c r="X2" s="2" t="s">
        <x:v>22</x:v>
      </x:c>
      <x:c r="Y2" s="2" t="s">
        <x:v>23</x:v>
      </x:c>
      <x:c r="Z2" s="2" t="s">
        <x:v>24</x:v>
      </x:c>
      <x:c r="AA2" s="2" t="s">
        <x:v>25</x:v>
      </x:c>
      <x:c r="AB2" s="2" t="s">
        <x:v>26</x:v>
      </x:c>
      <x:c r="AC2" s="2" t="s">
        <x:v>27</x:v>
      </x:c>
      <x:c r="AD2" s="2" t="s">
        <x:v>28</x:v>
      </x:c>
      <x:c r="AE2" s="2" t="s">
        <x:v>29</x:v>
      </x:c>
      <x:c r="AF2" s="2" t="s">
        <x:v>30</x:v>
      </x:c>
      <x:c r="AG2" s="2" t="s">
        <x:v>31</x:v>
      </x:c>
      <x:c r="AH2" s="2" t="s">
        <x:v>32</x:v>
      </x:c>
      <x:c r="AI2" s="2" t="s">
        <x:v>33</x:v>
      </x:c>
      <x:c r="AJ2" s="2" t="s">
        <x:v>34</x:v>
      </x:c>
      <x:c r="AK2" s="2" t="s">
        <x:v>35</x:v>
      </x:c>
      <x:c r="AL2" s="2" t="s">
        <x:v>36</x:v>
      </x:c>
      <x:c r="AM2" s="2" t="s">
        <x:v>37</x:v>
      </x:c>
      <x:c r="AN2" s="2" t="s">
        <x:v>38</x:v>
      </x:c>
      <x:c r="AO2" s="2" t="s">
        <x:v>39</x:v>
      </x:c>
      <x:c r="AP2" s="2" t="s">
        <x:v>40</x:v>
      </x:c>
      <x:c r="AQ2" s="2" t="s">
        <x:v>41</x:v>
      </x:c>
      <x:c r="AR2" s="2" t="s">
        <x:v>42</x:v>
      </x:c>
      <x:c r="AS2" s="2" t="s">
        <x:v>43</x:v>
      </x:c>
      <x:c r="AT2" s="2" t="s">
        <x:v>44</x:v>
      </x:c>
      <x:c r="AU2" s="2" t="s">
        <x:v>45</x:v>
      </x:c>
      <x:c r="AV2" s="2" t="s">
        <x:v>46</x:v>
      </x:c>
      <x:c r="AW2" s="2" t="s">
        <x:v>47</x:v>
      </x:c>
      <x:c r="AX2" s="2" t="s">
        <x:v>48</x:v>
      </x:c>
      <x:c r="AY2" s="2" t="s">
        <x:v>49</x:v>
      </x:c>
      <x:c r="AZ2" s="2" t="s">
        <x:v>50</x:v>
      </x:c>
    </x:row>
    <x:row r="3" ht="15" hidden="0">
      <x:c r="B3" s="3" t="s">
        <x:v>1</x:v>
      </x:c>
      <x:c r="C3" s="4" t="s">
        <x:v>51</x:v>
      </x:c>
      <x:c r="D3" s="5" t="s">
        <x:v>52</x:v>
      </x:c>
      <x:c r="E3" s="6"/>
      <x:c r="F3" s="6"/>
      <x:c r="G3" s="6"/>
      <x:c r="H3" s="7" t="s">
        <x:v>53</x:v>
      </x:c>
      <x:c r="I3" s="7" t="s">
        <x:v>53</x:v>
      </x:c>
      <x:c r="J3" s="6"/>
      <x:c r="K3" s="6"/>
      <x:c r="L3" s="6"/>
      <x:c r="M3" s="7" t="s">
        <x:v>53</x:v>
      </x:c>
      <x:c r="N3" s="6"/>
      <x:c r="O3" s="6"/>
      <x:c r="P3" s="6"/>
      <x:c r="Q3" s="6"/>
      <x:c r="R3" s="7" t="s">
        <x:v>53</x:v>
      </x:c>
      <x:c r="S3" s="6"/>
      <x:c r="T3" s="6"/>
      <x:c r="U3" s="6"/>
      <x:c r="V3" s="6"/>
      <x:c r="W3" s="5" t="s">
        <x:v>52</x:v>
      </x:c>
      <x:c r="X3" s="7" t="s">
        <x:v>53</x:v>
      </x:c>
      <x:c r="Y3" s="6"/>
      <x:c r="Z3" s="7" t="s">
        <x:v>53</x:v>
      </x:c>
      <x:c r="AA3" s="6"/>
      <x:c r="AB3" s="6"/>
      <x:c r="AC3" s="6"/>
      <x:c r="AD3" s="8" t="s">
        <x:v>54</x:v>
      </x:c>
      <x:c r="AE3" s="7" t="s">
        <x:v>53</x:v>
      </x:c>
      <x:c r="AF3" s="7" t="s">
        <x:v>53</x:v>
      </x:c>
      <x:c r="AG3" s="6"/>
      <x:c r="AH3" s="6"/>
      <x:c r="AI3" s="6"/>
      <x:c r="AJ3" s="6"/>
      <x:c r="AK3" s="6"/>
      <x:c r="AL3" s="6"/>
      <x:c r="AM3" s="7" t="s">
        <x:v>53</x:v>
      </x:c>
      <x:c r="AN3" s="6"/>
      <x:c r="AO3" s="6"/>
      <x:c r="AP3" s="6"/>
      <x:c r="AQ3" s="6"/>
      <x:c r="AR3" s="6"/>
      <x:c r="AS3" s="6"/>
      <x:c r="AT3" s="6"/>
      <x:c r="AU3" s="7" t="s">
        <x:v>53</x:v>
      </x:c>
      <x:c r="AV3" s="6"/>
      <x:c r="AW3" s="6"/>
      <x:c r="AX3" s="6"/>
      <x:c r="AY3" s="6"/>
      <x:c r="AZ3" s="6"/>
    </x:row>
    <x:row r="4" ht="15" hidden="0">
      <x:c r="B4" s="3" t="s">
        <x:v>2</x:v>
      </x:c>
      <x:c r="C4" s="5" t="s">
        <x:v>52</x:v>
      </x:c>
      <x:c r="D4" s="4" t="s">
        <x:v>51</x:v>
      </x:c>
      <x:c r="E4" s="7" t="s">
        <x:v>53</x:v>
      </x:c>
      <x:c r="F4" s="6"/>
      <x:c r="G4" s="6"/>
      <x:c r="H4" s="6"/>
      <x:c r="I4" s="6"/>
      <x:c r="J4" s="6"/>
      <x:c r="K4" s="6"/>
      <x:c r="L4" s="6"/>
      <x:c r="M4" s="6"/>
      <x:c r="N4" s="6"/>
      <x:c r="O4" s="6"/>
      <x:c r="P4" s="6"/>
      <x:c r="Q4" s="6"/>
      <x:c r="R4" s="6"/>
      <x:c r="S4" s="6"/>
      <x:c r="T4" s="6"/>
      <x:c r="U4" s="6"/>
      <x:c r="V4" s="6"/>
      <x:c r="W4" s="6"/>
      <x:c r="X4" s="7" t="s">
        <x:v>53</x:v>
      </x:c>
      <x:c r="Y4" s="6"/>
      <x:c r="Z4" s="6"/>
      <x:c r="AA4" s="6"/>
      <x:c r="AB4" s="5" t="s">
        <x:v>52</x:v>
      </x:c>
      <x:c r="AC4" s="6"/>
      <x:c r="AD4" s="6"/>
      <x:c r="AE4" s="6"/>
      <x:c r="AF4" s="5" t="s">
        <x:v>52</x:v>
      </x:c>
      <x:c r="AG4" s="6"/>
      <x:c r="AH4" s="6"/>
      <x:c r="AI4" s="6"/>
      <x:c r="AJ4" s="7" t="s">
        <x:v>53</x:v>
      </x:c>
      <x:c r="AK4" s="6"/>
      <x:c r="AL4" s="6"/>
      <x:c r="AM4" s="7" t="s">
        <x:v>53</x:v>
      </x:c>
      <x:c r="AN4" s="6"/>
      <x:c r="AO4" s="6"/>
      <x:c r="AP4" s="6"/>
      <x:c r="AQ4" s="6"/>
      <x:c r="AR4" s="6"/>
      <x:c r="AS4" s="6"/>
      <x:c r="AT4" s="6"/>
      <x:c r="AU4" s="6"/>
      <x:c r="AV4" s="6"/>
      <x:c r="AW4" s="6"/>
      <x:c r="AX4" s="6"/>
      <x:c r="AY4" s="6"/>
      <x:c r="AZ4" s="6"/>
    </x:row>
    <x:row r="5" ht="15" hidden="0">
      <x:c r="B5" s="3" t="s">
        <x:v>3</x:v>
      </x:c>
      <x:c r="C5" s="6"/>
      <x:c r="D5" s="7" t="s">
        <x:v>53</x:v>
      </x:c>
      <x:c r="E5" s="4" t="s">
        <x:v>51</x:v>
      </x:c>
      <x:c r="F5" s="6"/>
      <x:c r="G5" s="6"/>
      <x:c r="H5" s="7" t="s">
        <x:v>53</x:v>
      </x:c>
      <x:c r="I5" s="6"/>
      <x:c r="J5" s="6"/>
      <x:c r="K5" s="6"/>
      <x:c r="L5" s="7" t="s">
        <x:v>53</x:v>
      </x:c>
      <x:c r="M5" s="6"/>
      <x:c r="N5" s="6"/>
      <x:c r="O5" s="7" t="s">
        <x:v>53</x:v>
      </x:c>
      <x:c r="P5" s="6"/>
      <x:c r="Q5" s="6"/>
      <x:c r="R5" s="7" t="s">
        <x:v>53</x:v>
      </x:c>
      <x:c r="S5" s="6"/>
      <x:c r="T5" s="7" t="s">
        <x:v>53</x:v>
      </x:c>
      <x:c r="U5" s="6"/>
      <x:c r="V5" s="6"/>
      <x:c r="W5" s="5" t="s">
        <x:v>52</x:v>
      </x:c>
      <x:c r="X5" s="7" t="s">
        <x:v>53</x:v>
      </x:c>
      <x:c r="Y5" s="6"/>
      <x:c r="Z5" s="6"/>
      <x:c r="AA5" s="6"/>
      <x:c r="AB5" s="6"/>
      <x:c r="AC5" s="6"/>
      <x:c r="AD5" s="6"/>
      <x:c r="AE5" s="6"/>
      <x:c r="AF5" s="6"/>
      <x:c r="AG5" s="6"/>
      <x:c r="AH5" s="6"/>
      <x:c r="AI5" s="8" t="s">
        <x:v>54</x:v>
      </x:c>
      <x:c r="AJ5" s="6"/>
      <x:c r="AK5" s="6"/>
      <x:c r="AL5" s="6"/>
      <x:c r="AM5" s="6"/>
      <x:c r="AN5" s="6"/>
      <x:c r="AO5" s="6"/>
      <x:c r="AP5" s="6"/>
      <x:c r="AQ5" s="6"/>
      <x:c r="AR5" s="6"/>
      <x:c r="AS5" s="6"/>
      <x:c r="AT5" s="6"/>
      <x:c r="AU5" s="6"/>
      <x:c r="AV5" s="6"/>
      <x:c r="AW5" s="6"/>
      <x:c r="AX5" s="6"/>
      <x:c r="AY5" s="6"/>
      <x:c r="AZ5" s="6"/>
    </x:row>
    <x:row r="6" ht="15" hidden="0">
      <x:c r="B6" s="3" t="s">
        <x:v>4</x:v>
      </x:c>
      <x:c r="C6" s="6"/>
      <x:c r="D6" s="6"/>
      <x:c r="E6" s="6"/>
      <x:c r="F6" s="4" t="s">
        <x:v>51</x:v>
      </x:c>
      <x:c r="G6" s="6"/>
      <x:c r="H6" s="5" t="s">
        <x:v>52</x:v>
      </x:c>
      <x:c r="I6" s="5" t="s">
        <x:v>52</x:v>
      </x:c>
      <x:c r="J6" s="6"/>
      <x:c r="K6" s="6"/>
      <x:c r="L6" s="6"/>
      <x:c r="M6" s="6"/>
      <x:c r="N6" s="6"/>
      <x:c r="O6" s="6"/>
      <x:c r="P6" s="6"/>
      <x:c r="Q6" s="7" t="s">
        <x:v>53</x:v>
      </x:c>
      <x:c r="R6" s="6"/>
      <x:c r="S6" s="6"/>
      <x:c r="T6" s="6"/>
      <x:c r="U6" s="5" t="s">
        <x:v>52</x:v>
      </x:c>
      <x:c r="V6" s="6"/>
      <x:c r="W6" s="6"/>
      <x:c r="X6" s="6"/>
      <x:c r="Y6" s="6"/>
      <x:c r="Z6" s="6"/>
      <x:c r="AA6" s="6"/>
      <x:c r="AB6" s="6"/>
      <x:c r="AC6" s="6"/>
      <x:c r="AD6" s="6"/>
      <x:c r="AE6" s="6"/>
      <x:c r="AF6" s="6"/>
      <x:c r="AG6" s="6"/>
      <x:c r="AH6" s="7" t="s">
        <x:v>53</x:v>
      </x:c>
      <x:c r="AI6" s="6"/>
      <x:c r="AJ6" s="6"/>
      <x:c r="AK6" s="6"/>
      <x:c r="AL6" s="6"/>
      <x:c r="AM6" s="6"/>
      <x:c r="AN6" s="6"/>
      <x:c r="AO6" s="6"/>
      <x:c r="AP6" s="6"/>
      <x:c r="AQ6" s="6"/>
      <x:c r="AR6" s="6"/>
      <x:c r="AS6" s="6"/>
      <x:c r="AT6" s="6"/>
      <x:c r="AU6" s="6"/>
      <x:c r="AV6" s="6"/>
      <x:c r="AW6" s="6"/>
      <x:c r="AX6" s="6"/>
      <x:c r="AY6" s="6"/>
      <x:c r="AZ6" s="6"/>
    </x:row>
    <x:row r="7" ht="15" hidden="0">
      <x:c r="B7" s="3" t="s">
        <x:v>5</x:v>
      </x:c>
      <x:c r="C7" s="6"/>
      <x:c r="D7" s="6"/>
      <x:c r="E7" s="6"/>
      <x:c r="F7" s="6"/>
      <x:c r="G7" s="4" t="s">
        <x:v>51</x:v>
      </x:c>
      <x:c r="H7" s="6"/>
      <x:c r="I7" s="6"/>
      <x:c r="J7" s="6"/>
      <x:c r="K7" s="6"/>
      <x:c r="L7" s="7" t="s">
        <x:v>53</x:v>
      </x:c>
      <x:c r="M7" s="6"/>
      <x:c r="N7" s="6"/>
      <x:c r="O7" s="7" t="s">
        <x:v>53</x:v>
      </x:c>
      <x:c r="P7" s="6"/>
      <x:c r="Q7" s="6"/>
      <x:c r="R7" s="6"/>
      <x:c r="S7" s="6"/>
      <x:c r="T7" s="6"/>
      <x:c r="U7" s="6"/>
      <x:c r="V7" s="6"/>
      <x:c r="W7" s="6"/>
      <x:c r="X7" s="7" t="s">
        <x:v>53</x:v>
      </x:c>
      <x:c r="Y7" s="6"/>
      <x:c r="Z7" s="6"/>
      <x:c r="AA7" s="6"/>
      <x:c r="AB7" s="6"/>
      <x:c r="AC7" s="6"/>
      <x:c r="AD7" s="6"/>
      <x:c r="AE7" s="6"/>
      <x:c r="AF7" s="7" t="s">
        <x:v>53</x:v>
      </x:c>
      <x:c r="AG7" s="6"/>
      <x:c r="AH7" s="6"/>
      <x:c r="AI7" s="6"/>
      <x:c r="AJ7" s="6"/>
      <x:c r="AK7" s="6"/>
      <x:c r="AL7" s="6"/>
      <x:c r="AM7" s="6"/>
      <x:c r="AN7" s="6"/>
      <x:c r="AO7" s="6"/>
      <x:c r="AP7" s="6"/>
      <x:c r="AQ7" s="6"/>
      <x:c r="AR7" s="6"/>
      <x:c r="AS7" s="6"/>
      <x:c r="AT7" s="6"/>
      <x:c r="AU7" s="6"/>
      <x:c r="AV7" s="6"/>
      <x:c r="AW7" s="6"/>
      <x:c r="AX7" s="6"/>
      <x:c r="AY7" s="6"/>
      <x:c r="AZ7" s="6"/>
    </x:row>
    <x:row r="8" ht="15" hidden="0">
      <x:c r="B8" s="3" t="s">
        <x:v>6</x:v>
      </x:c>
      <x:c r="C8" s="7" t="s">
        <x:v>53</x:v>
      </x:c>
      <x:c r="D8" s="6"/>
      <x:c r="E8" s="7" t="s">
        <x:v>53</x:v>
      </x:c>
      <x:c r="F8" s="5" t="s">
        <x:v>52</x:v>
      </x:c>
      <x:c r="G8" s="6"/>
      <x:c r="H8" s="4" t="s">
        <x:v>51</x:v>
      </x:c>
      <x:c r="I8" s="7" t="s">
        <x:v>53</x:v>
      </x:c>
      <x:c r="J8" s="7" t="s">
        <x:v>53</x:v>
      </x:c>
      <x:c r="K8" s="6"/>
      <x:c r="L8" s="7" t="s">
        <x:v>53</x:v>
      </x:c>
      <x:c r="M8" s="6"/>
      <x:c r="N8" s="6"/>
      <x:c r="O8" s="6"/>
      <x:c r="P8" s="6"/>
      <x:c r="Q8" s="6"/>
      <x:c r="R8" s="7" t="s">
        <x:v>53</x:v>
      </x:c>
      <x:c r="S8" s="6"/>
      <x:c r="T8" s="6"/>
      <x:c r="U8" s="7" t="s">
        <x:v>53</x:v>
      </x:c>
      <x:c r="V8" s="6"/>
      <x:c r="W8" s="8" t="s">
        <x:v>54</x:v>
      </x:c>
      <x:c r="X8" s="7" t="s">
        <x:v>53</x:v>
      </x:c>
      <x:c r="Y8" s="6"/>
      <x:c r="Z8" s="6"/>
      <x:c r="AA8" s="6"/>
      <x:c r="AB8" s="7" t="s">
        <x:v>53</x:v>
      </x:c>
      <x:c r="AC8" s="6"/>
      <x:c r="AD8" s="6"/>
      <x:c r="AE8" s="6"/>
      <x:c r="AF8" s="6"/>
      <x:c r="AG8" s="6"/>
      <x:c r="AH8" s="6"/>
      <x:c r="AI8" s="6"/>
      <x:c r="AJ8" s="6"/>
      <x:c r="AK8" s="6"/>
      <x:c r="AL8" s="6"/>
      <x:c r="AM8" s="5" t="s">
        <x:v>52</x:v>
      </x:c>
      <x:c r="AN8" s="6"/>
      <x:c r="AO8" s="6"/>
      <x:c r="AP8" s="6"/>
      <x:c r="AQ8" s="6"/>
      <x:c r="AR8" s="6"/>
      <x:c r="AS8" s="6"/>
      <x:c r="AT8" s="6"/>
      <x:c r="AU8" s="6"/>
      <x:c r="AV8" s="6"/>
      <x:c r="AW8" s="6"/>
      <x:c r="AX8" s="6"/>
      <x:c r="AY8" s="6"/>
      <x:c r="AZ8" s="6"/>
    </x:row>
    <x:row r="9" ht="15" hidden="0">
      <x:c r="B9" s="3" t="s">
        <x:v>7</x:v>
      </x:c>
      <x:c r="C9" s="7" t="s">
        <x:v>53</x:v>
      </x:c>
      <x:c r="D9" s="6"/>
      <x:c r="E9" s="6"/>
      <x:c r="F9" s="5" t="s">
        <x:v>52</x:v>
      </x:c>
      <x:c r="G9" s="6"/>
      <x:c r="H9" s="7" t="s">
        <x:v>53</x:v>
      </x:c>
      <x:c r="I9" s="4" t="s">
        <x:v>51</x:v>
      </x:c>
      <x:c r="J9" s="6"/>
      <x:c r="K9" s="6"/>
      <x:c r="L9" s="6"/>
      <x:c r="M9" s="6"/>
      <x:c r="N9" s="6"/>
      <x:c r="O9" s="7" t="s">
        <x:v>53</x:v>
      </x:c>
      <x:c r="P9" s="7" t="s">
        <x:v>53</x:v>
      </x:c>
      <x:c r="Q9" s="7" t="s">
        <x:v>53</x:v>
      </x:c>
      <x:c r="R9" s="6"/>
      <x:c r="S9" s="6"/>
      <x:c r="T9" s="6"/>
      <x:c r="U9" s="6"/>
      <x:c r="V9" s="6"/>
      <x:c r="W9" s="8" t="s">
        <x:v>54</x:v>
      </x:c>
      <x:c r="X9" s="6"/>
      <x:c r="Y9" s="5" t="s">
        <x:v>52</x:v>
      </x:c>
      <x:c r="Z9" s="5" t="s">
        <x:v>52</x:v>
      </x:c>
      <x:c r="AA9" s="6"/>
      <x:c r="AB9" s="7" t="s">
        <x:v>53</x:v>
      </x:c>
      <x:c r="AC9" s="6"/>
      <x:c r="AD9" s="7" t="s">
        <x:v>53</x:v>
      </x:c>
      <x:c r="AE9" s="5" t="s">
        <x:v>52</x:v>
      </x:c>
      <x:c r="AF9" s="7" t="s">
        <x:v>53</x:v>
      </x:c>
      <x:c r="AG9" s="6"/>
      <x:c r="AH9" s="6"/>
      <x:c r="AI9" s="6"/>
      <x:c r="AJ9" s="7" t="s">
        <x:v>53</x:v>
      </x:c>
      <x:c r="AK9" s="6"/>
      <x:c r="AL9" s="6"/>
      <x:c r="AM9" s="8" t="s">
        <x:v>54</x:v>
      </x:c>
      <x:c r="AN9" s="6"/>
      <x:c r="AO9" s="6"/>
      <x:c r="AP9" s="6"/>
      <x:c r="AQ9" s="6"/>
      <x:c r="AR9" s="6"/>
      <x:c r="AS9" s="6"/>
      <x:c r="AT9" s="6"/>
      <x:c r="AU9" s="6"/>
      <x:c r="AV9" s="6"/>
      <x:c r="AW9" s="6"/>
      <x:c r="AX9" s="6"/>
      <x:c r="AY9" s="6"/>
      <x:c r="AZ9" s="6"/>
    </x:row>
    <x:row r="10" ht="15" hidden="0">
      <x:c r="B10" s="3" t="s">
        <x:v>8</x:v>
      </x:c>
      <x:c r="C10" s="6"/>
      <x:c r="D10" s="6"/>
      <x:c r="E10" s="6"/>
      <x:c r="F10" s="6"/>
      <x:c r="G10" s="6"/>
      <x:c r="H10" s="7" t="s">
        <x:v>53</x:v>
      </x:c>
      <x:c r="I10" s="6"/>
      <x:c r="J10" s="4" t="s">
        <x:v>51</x:v>
      </x:c>
      <x:c r="K10" s="6"/>
      <x:c r="L10" s="6"/>
      <x:c r="M10" s="6"/>
      <x:c r="N10" s="6"/>
      <x:c r="O10" s="6"/>
      <x:c r="P10" s="6"/>
      <x:c r="Q10" s="6"/>
      <x:c r="R10" s="6"/>
      <x:c r="S10" s="6"/>
      <x:c r="T10" s="6"/>
      <x:c r="U10" s="6"/>
      <x:c r="V10" s="6"/>
      <x:c r="W10" s="6"/>
      <x:c r="X10" s="7" t="s">
        <x:v>53</x:v>
      </x:c>
      <x:c r="Y10" s="7" t="s">
        <x:v>53</x:v>
      </x:c>
      <x:c r="Z10" s="6"/>
      <x:c r="AA10" s="6"/>
      <x:c r="AB10" s="7" t="s">
        <x:v>53</x:v>
      </x:c>
      <x:c r="AC10" s="6"/>
      <x:c r="AD10" s="6"/>
      <x:c r="AE10" s="6"/>
      <x:c r="AF10" s="6"/>
      <x:c r="AG10" s="6"/>
      <x:c r="AH10" s="6"/>
      <x:c r="AI10" s="6"/>
      <x:c r="AJ10" s="6"/>
      <x:c r="AK10" s="6"/>
      <x:c r="AL10" s="6"/>
      <x:c r="AM10" s="7" t="s">
        <x:v>53</x:v>
      </x:c>
      <x:c r="AN10" s="7" t="s">
        <x:v>53</x:v>
      </x:c>
      <x:c r="AO10" s="6"/>
      <x:c r="AP10" s="6"/>
      <x:c r="AQ10" s="6"/>
      <x:c r="AR10" s="6"/>
      <x:c r="AS10" s="6"/>
      <x:c r="AT10" s="6"/>
      <x:c r="AU10" s="6"/>
      <x:c r="AV10" s="6"/>
      <x:c r="AW10" s="6"/>
      <x:c r="AX10" s="6"/>
      <x:c r="AY10" s="6"/>
      <x:c r="AZ10" s="6"/>
    </x:row>
    <x:row r="11" ht="15" hidden="0">
      <x:c r="B11" s="3" t="s">
        <x:v>9</x:v>
      </x:c>
      <x:c r="C11" s="6"/>
      <x:c r="D11" s="6"/>
      <x:c r="E11" s="6"/>
      <x:c r="F11" s="6"/>
      <x:c r="G11" s="6"/>
      <x:c r="H11" s="6"/>
      <x:c r="I11" s="6"/>
      <x:c r="J11" s="6"/>
      <x:c r="K11" s="4" t="s">
        <x:v>51</x:v>
      </x:c>
      <x:c r="L11" s="6"/>
      <x:c r="M11" s="6"/>
      <x:c r="N11" s="6"/>
      <x:c r="O11" s="6"/>
      <x:c r="P11" s="6"/>
      <x:c r="Q11" s="6"/>
      <x:c r="R11" s="6"/>
      <x:c r="S11" s="6"/>
      <x:c r="T11" s="6"/>
      <x:c r="U11" s="6"/>
      <x:c r="V11" s="6"/>
      <x:c r="W11" s="6"/>
      <x:c r="X11" s="6"/>
      <x:c r="Y11" s="7" t="s">
        <x:v>53</x:v>
      </x:c>
      <x:c r="Z11" s="6"/>
      <x:c r="AA11" s="6"/>
      <x:c r="AB11" s="6"/>
      <x:c r="AC11" s="6"/>
      <x:c r="AD11" s="6"/>
      <x:c r="AE11" s="5" t="s">
        <x:v>52</x:v>
      </x:c>
      <x:c r="AF11" s="6"/>
      <x:c r="AG11" s="6"/>
      <x:c r="AH11" s="6"/>
      <x:c r="AI11" s="6"/>
      <x:c r="AJ11" s="6"/>
      <x:c r="AK11" s="6"/>
      <x:c r="AL11" s="6"/>
      <x:c r="AM11" s="6"/>
      <x:c r="AN11" s="6"/>
      <x:c r="AO11" s="6"/>
      <x:c r="AP11" s="6"/>
      <x:c r="AQ11" s="6"/>
      <x:c r="AR11" s="6"/>
      <x:c r="AS11" s="6"/>
      <x:c r="AT11" s="6"/>
      <x:c r="AU11" s="6"/>
      <x:c r="AV11" s="6"/>
      <x:c r="AW11" s="6"/>
      <x:c r="AX11" s="6"/>
      <x:c r="AY11" s="6"/>
      <x:c r="AZ11" s="6"/>
    </x:row>
    <x:row r="12" ht="15" hidden="0">
      <x:c r="B12" s="3" t="s">
        <x:v>10</x:v>
      </x:c>
      <x:c r="C12" s="6"/>
      <x:c r="D12" s="6"/>
      <x:c r="E12" s="7" t="s">
        <x:v>53</x:v>
      </x:c>
      <x:c r="F12" s="6"/>
      <x:c r="G12" s="7" t="s">
        <x:v>53</x:v>
      </x:c>
      <x:c r="H12" s="7" t="s">
        <x:v>53</x:v>
      </x:c>
      <x:c r="I12" s="6"/>
      <x:c r="J12" s="6"/>
      <x:c r="K12" s="6"/>
      <x:c r="L12" s="4" t="s">
        <x:v>51</x:v>
      </x:c>
      <x:c r="M12" s="6"/>
      <x:c r="N12" s="7" t="s">
        <x:v>53</x:v>
      </x:c>
      <x:c r="O12" s="7" t="s">
        <x:v>53</x:v>
      </x:c>
      <x:c r="P12" s="7" t="s">
        <x:v>53</x:v>
      </x:c>
      <x:c r="Q12" s="6"/>
      <x:c r="R12" s="6"/>
      <x:c r="S12" s="6"/>
      <x:c r="T12" s="7" t="s">
        <x:v>53</x:v>
      </x:c>
      <x:c r="U12" s="6"/>
      <x:c r="V12" s="7" t="s">
        <x:v>53</x:v>
      </x:c>
      <x:c r="W12" s="7" t="s">
        <x:v>53</x:v>
      </x:c>
      <x:c r="X12" s="8" t="s">
        <x:v>54</x:v>
      </x:c>
      <x:c r="Y12" s="7" t="s">
        <x:v>53</x:v>
      </x:c>
      <x:c r="Z12" s="6"/>
      <x:c r="AA12" s="6"/>
      <x:c r="AB12" s="7" t="s">
        <x:v>53</x:v>
      </x:c>
      <x:c r="AC12" s="6"/>
      <x:c r="AD12" s="7" t="s">
        <x:v>53</x:v>
      </x:c>
      <x:c r="AE12" s="8" t="s">
        <x:v>54</x:v>
      </x:c>
      <x:c r="AF12" s="6"/>
      <x:c r="AG12" s="7" t="s">
        <x:v>53</x:v>
      </x:c>
      <x:c r="AH12" s="6"/>
      <x:c r="AI12" s="6"/>
      <x:c r="AJ12" s="6"/>
      <x:c r="AK12" s="6"/>
      <x:c r="AL12" s="6"/>
      <x:c r="AM12" s="7" t="s">
        <x:v>53</x:v>
      </x:c>
      <x:c r="AN12" s="6"/>
      <x:c r="AO12" s="6"/>
      <x:c r="AP12" s="6"/>
      <x:c r="AQ12" s="6"/>
      <x:c r="AR12" s="6"/>
      <x:c r="AS12" s="6"/>
      <x:c r="AT12" s="7" t="s">
        <x:v>53</x:v>
      </x:c>
      <x:c r="AU12" s="6"/>
      <x:c r="AV12" s="7" t="s">
        <x:v>53</x:v>
      </x:c>
      <x:c r="AW12" s="6"/>
      <x:c r="AX12" s="6"/>
      <x:c r="AY12" s="6"/>
      <x:c r="AZ12" s="6"/>
    </x:row>
    <x:row r="13" ht="15" hidden="0">
      <x:c r="B13" s="3" t="s">
        <x:v>11</x:v>
      </x:c>
      <x:c r="C13" s="7" t="s">
        <x:v>53</x:v>
      </x:c>
      <x:c r="D13" s="6"/>
      <x:c r="E13" s="6"/>
      <x:c r="F13" s="6"/>
      <x:c r="G13" s="6"/>
      <x:c r="H13" s="6"/>
      <x:c r="I13" s="6"/>
      <x:c r="J13" s="6"/>
      <x:c r="K13" s="6"/>
      <x:c r="L13" s="6"/>
      <x:c r="M13" s="4" t="s">
        <x:v>51</x:v>
      </x:c>
      <x:c r="N13" s="6"/>
      <x:c r="O13" s="6"/>
      <x:c r="P13" s="6"/>
      <x:c r="Q13" s="6"/>
      <x:c r="R13" s="7" t="s">
        <x:v>53</x:v>
      </x:c>
      <x:c r="S13" s="6"/>
      <x:c r="T13" s="6"/>
      <x:c r="U13" s="6"/>
      <x:c r="V13" s="7" t="s">
        <x:v>53</x:v>
      </x:c>
      <x:c r="W13" s="7" t="s">
        <x:v>53</x:v>
      </x:c>
      <x:c r="X13" s="7" t="s">
        <x:v>53</x:v>
      </x:c>
      <x:c r="Y13" s="6"/>
      <x:c r="Z13" s="7" t="s">
        <x:v>53</x:v>
      </x:c>
      <x:c r="AA13" s="6"/>
      <x:c r="AB13" s="7" t="s">
        <x:v>53</x:v>
      </x:c>
      <x:c r="AC13" s="5" t="s">
        <x:v>52</x:v>
      </x:c>
      <x:c r="AD13" s="6"/>
      <x:c r="AE13" s="6"/>
      <x:c r="AF13" s="5" t="s">
        <x:v>52</x:v>
      </x:c>
      <x:c r="AG13" s="6"/>
      <x:c r="AH13" s="5" t="s">
        <x:v>52</x:v>
      </x:c>
      <x:c r="AI13" s="6"/>
      <x:c r="AJ13" s="6"/>
      <x:c r="AK13" s="6"/>
      <x:c r="AL13" s="6"/>
      <x:c r="AM13" s="7" t="s">
        <x:v>53</x:v>
      </x:c>
      <x:c r="AN13" s="6"/>
      <x:c r="AO13" s="6"/>
      <x:c r="AP13" s="6"/>
      <x:c r="AQ13" s="6"/>
      <x:c r="AR13" s="6"/>
      <x:c r="AS13" s="6"/>
      <x:c r="AT13" s="6"/>
      <x:c r="AU13" s="6"/>
      <x:c r="AV13" s="6"/>
      <x:c r="AW13" s="6"/>
      <x:c r="AX13" s="6"/>
      <x:c r="AY13" s="6"/>
      <x:c r="AZ13" s="6"/>
    </x:row>
    <x:row r="14" ht="15" hidden="0">
      <x:c r="B14" s="3" t="s">
        <x:v>12</x:v>
      </x:c>
      <x:c r="C14" s="6"/>
      <x:c r="D14" s="6"/>
      <x:c r="E14" s="6"/>
      <x:c r="F14" s="6"/>
      <x:c r="G14" s="6"/>
      <x:c r="H14" s="6"/>
      <x:c r="I14" s="6"/>
      <x:c r="J14" s="6"/>
      <x:c r="K14" s="6"/>
      <x:c r="L14" s="7" t="s">
        <x:v>53</x:v>
      </x:c>
      <x:c r="M14" s="6"/>
      <x:c r="N14" s="4" t="s">
        <x:v>51</x:v>
      </x:c>
      <x:c r="O14" s="7" t="s">
        <x:v>53</x:v>
      </x:c>
      <x:c r="P14" s="6"/>
      <x:c r="Q14" s="6"/>
      <x:c r="R14" s="6"/>
      <x:c r="S14" s="6"/>
      <x:c r="T14" s="6"/>
      <x:c r="U14" s="6"/>
      <x:c r="V14" s="6"/>
      <x:c r="W14" s="7" t="s">
        <x:v>53</x:v>
      </x:c>
      <x:c r="X14" s="6"/>
      <x:c r="Y14" s="7" t="s">
        <x:v>53</x:v>
      </x:c>
      <x:c r="Z14" s="6"/>
      <x:c r="AA14" s="6"/>
      <x:c r="AB14" s="6"/>
      <x:c r="AC14" s="6"/>
      <x:c r="AD14" s="7" t="s">
        <x:v>53</x:v>
      </x:c>
      <x:c r="AE14" s="6"/>
      <x:c r="AF14" s="6"/>
      <x:c r="AG14" s="6"/>
      <x:c r="AH14" s="6"/>
      <x:c r="AI14" s="6"/>
      <x:c r="AJ14" s="7" t="s">
        <x:v>53</x:v>
      </x:c>
      <x:c r="AK14" s="6"/>
      <x:c r="AL14" s="6"/>
      <x:c r="AM14" s="6"/>
      <x:c r="AN14" s="6"/>
      <x:c r="AO14" s="6"/>
      <x:c r="AP14" s="6"/>
      <x:c r="AQ14" s="6"/>
      <x:c r="AR14" s="6"/>
      <x:c r="AS14" s="6"/>
      <x:c r="AT14" s="6"/>
      <x:c r="AU14" s="6"/>
      <x:c r="AV14" s="6"/>
      <x:c r="AW14" s="6"/>
      <x:c r="AX14" s="6"/>
      <x:c r="AY14" s="6"/>
      <x:c r="AZ14" s="6"/>
    </x:row>
    <x:row r="15" ht="15" hidden="0">
      <x:c r="B15" s="3" t="s">
        <x:v>13</x:v>
      </x:c>
      <x:c r="C15" s="6"/>
      <x:c r="D15" s="6"/>
      <x:c r="E15" s="7" t="s">
        <x:v>53</x:v>
      </x:c>
      <x:c r="F15" s="6"/>
      <x:c r="G15" s="7" t="s">
        <x:v>53</x:v>
      </x:c>
      <x:c r="H15" s="6"/>
      <x:c r="I15" s="7" t="s">
        <x:v>53</x:v>
      </x:c>
      <x:c r="J15" s="6"/>
      <x:c r="K15" s="6"/>
      <x:c r="L15" s="7" t="s">
        <x:v>53</x:v>
      </x:c>
      <x:c r="M15" s="6"/>
      <x:c r="N15" s="7" t="s">
        <x:v>53</x:v>
      </x:c>
      <x:c r="O15" s="4" t="s">
        <x:v>51</x:v>
      </x:c>
      <x:c r="P15" s="6"/>
      <x:c r="Q15" s="5" t="s">
        <x:v>52</x:v>
      </x:c>
      <x:c r="R15" s="7" t="s">
        <x:v>53</x:v>
      </x:c>
      <x:c r="S15" s="6"/>
      <x:c r="T15" s="7" t="s">
        <x:v>53</x:v>
      </x:c>
      <x:c r="U15" s="6"/>
      <x:c r="V15" s="7" t="s">
        <x:v>53</x:v>
      </x:c>
      <x:c r="W15" s="7" t="s">
        <x:v>53</x:v>
      </x:c>
      <x:c r="X15" s="8" t="s">
        <x:v>54</x:v>
      </x:c>
      <x:c r="Y15" s="6"/>
      <x:c r="Z15" s="6"/>
      <x:c r="AA15" s="7" t="s">
        <x:v>53</x:v>
      </x:c>
      <x:c r="AB15" s="6"/>
      <x:c r="AC15" s="6"/>
      <x:c r="AD15" s="6"/>
      <x:c r="AE15" s="6"/>
      <x:c r="AF15" s="6"/>
      <x:c r="AG15" s="7" t="s">
        <x:v>53</x:v>
      </x:c>
      <x:c r="AH15" s="6"/>
      <x:c r="AI15" s="6"/>
      <x:c r="AJ15" s="6"/>
      <x:c r="AK15" s="6"/>
      <x:c r="AL15" s="6"/>
      <x:c r="AM15" s="7" t="s">
        <x:v>53</x:v>
      </x:c>
      <x:c r="AN15" s="6"/>
      <x:c r="AO15" s="6"/>
      <x:c r="AP15" s="6"/>
      <x:c r="AQ15" s="6"/>
      <x:c r="AR15" s="6"/>
      <x:c r="AS15" s="6"/>
      <x:c r="AT15" s="6"/>
      <x:c r="AU15" s="6"/>
      <x:c r="AV15" s="6"/>
      <x:c r="AW15" s="6"/>
      <x:c r="AX15" s="6"/>
      <x:c r="AY15" s="6"/>
      <x:c r="AZ15" s="7" t="s">
        <x:v>53</x:v>
      </x:c>
    </x:row>
    <x:row r="16" ht="15" hidden="0">
      <x:c r="B16" s="3" t="s">
        <x:v>14</x:v>
      </x:c>
      <x:c r="C16" s="6"/>
      <x:c r="D16" s="6"/>
      <x:c r="E16" s="6"/>
      <x:c r="F16" s="6"/>
      <x:c r="G16" s="6"/>
      <x:c r="H16" s="6"/>
      <x:c r="I16" s="7" t="s">
        <x:v>53</x:v>
      </x:c>
      <x:c r="J16" s="6"/>
      <x:c r="K16" s="6"/>
      <x:c r="L16" s="7" t="s">
        <x:v>53</x:v>
      </x:c>
      <x:c r="M16" s="6"/>
      <x:c r="N16" s="6"/>
      <x:c r="O16" s="6"/>
      <x:c r="P16" s="4" t="s">
        <x:v>51</x:v>
      </x:c>
      <x:c r="Q16" s="6"/>
      <x:c r="R16" s="6"/>
      <x:c r="S16" s="6"/>
      <x:c r="T16" s="6"/>
      <x:c r="U16" s="7" t="s">
        <x:v>53</x:v>
      </x:c>
      <x:c r="V16" s="5" t="s">
        <x:v>52</x:v>
      </x:c>
      <x:c r="W16" s="7" t="s">
        <x:v>53</x:v>
      </x:c>
      <x:c r="X16" s="7" t="s">
        <x:v>53</x:v>
      </x:c>
      <x:c r="Y16" s="6"/>
      <x:c r="Z16" s="6"/>
      <x:c r="AA16" s="6"/>
      <x:c r="AB16" s="7" t="s">
        <x:v>53</x:v>
      </x:c>
      <x:c r="AC16" s="6"/>
      <x:c r="AD16" s="6"/>
      <x:c r="AE16" s="6"/>
      <x:c r="AF16" s="6"/>
      <x:c r="AG16" s="6"/>
      <x:c r="AH16" s="7" t="s">
        <x:v>53</x:v>
      </x:c>
      <x:c r="AI16" s="6"/>
      <x:c r="AJ16" s="6"/>
      <x:c r="AK16" s="6"/>
      <x:c r="AL16" s="6"/>
      <x:c r="AM16" s="6"/>
      <x:c r="AN16" s="6"/>
      <x:c r="AO16" s="6"/>
      <x:c r="AP16" s="6"/>
      <x:c r="AQ16" s="6"/>
      <x:c r="AR16" s="6"/>
      <x:c r="AS16" s="6"/>
      <x:c r="AT16" s="6"/>
      <x:c r="AU16" s="6"/>
      <x:c r="AV16" s="6"/>
      <x:c r="AW16" s="6"/>
      <x:c r="AX16" s="6"/>
      <x:c r="AY16" s="6"/>
      <x:c r="AZ16" s="6"/>
    </x:row>
    <x:row r="17" ht="15" hidden="0">
      <x:c r="B17" s="3" t="s">
        <x:v>15</x:v>
      </x:c>
      <x:c r="C17" s="6"/>
      <x:c r="D17" s="6"/>
      <x:c r="E17" s="6"/>
      <x:c r="F17" s="7" t="s">
        <x:v>53</x:v>
      </x:c>
      <x:c r="G17" s="6"/>
      <x:c r="H17" s="6"/>
      <x:c r="I17" s="7" t="s">
        <x:v>53</x:v>
      </x:c>
      <x:c r="J17" s="6"/>
      <x:c r="K17" s="6"/>
      <x:c r="L17" s="6"/>
      <x:c r="M17" s="6"/>
      <x:c r="N17" s="6"/>
      <x:c r="O17" s="5" t="s">
        <x:v>52</x:v>
      </x:c>
      <x:c r="P17" s="6"/>
      <x:c r="Q17" s="4" t="s">
        <x:v>51</x:v>
      </x:c>
      <x:c r="R17" s="6"/>
      <x:c r="S17" s="7" t="s">
        <x:v>53</x:v>
      </x:c>
      <x:c r="T17" s="6"/>
      <x:c r="U17" s="6"/>
      <x:c r="V17" s="6"/>
      <x:c r="W17" s="7" t="s">
        <x:v>53</x:v>
      </x:c>
      <x:c r="X17" s="7" t="s">
        <x:v>53</x:v>
      </x:c>
      <x:c r="Y17" s="7" t="s">
        <x:v>53</x:v>
      </x:c>
      <x:c r="Z17" s="5" t="s">
        <x:v>52</x:v>
      </x:c>
      <x:c r="AA17" s="6"/>
      <x:c r="AB17" s="6"/>
      <x:c r="AC17" s="6"/>
      <x:c r="AD17" s="7" t="s">
        <x:v>53</x:v>
      </x:c>
      <x:c r="AE17" s="6"/>
      <x:c r="AF17" s="7" t="s">
        <x:v>53</x:v>
      </x:c>
      <x:c r="AG17" s="7" t="s">
        <x:v>53</x:v>
      </x:c>
      <x:c r="AH17" s="6"/>
      <x:c r="AI17" s="7" t="s">
        <x:v>53</x:v>
      </x:c>
      <x:c r="AJ17" s="6"/>
      <x:c r="AK17" s="7" t="s">
        <x:v>53</x:v>
      </x:c>
      <x:c r="AL17" s="6"/>
      <x:c r="AM17" s="8" t="s">
        <x:v>54</x:v>
      </x:c>
      <x:c r="AN17" s="6"/>
      <x:c r="AO17" s="6"/>
      <x:c r="AP17" s="6"/>
      <x:c r="AQ17" s="6"/>
      <x:c r="AR17" s="6"/>
      <x:c r="AS17" s="6"/>
      <x:c r="AT17" s="6"/>
      <x:c r="AU17" s="6"/>
      <x:c r="AV17" s="6"/>
      <x:c r="AW17" s="6"/>
      <x:c r="AX17" s="6"/>
      <x:c r="AY17" s="6"/>
      <x:c r="AZ17" s="6"/>
    </x:row>
    <x:row r="18" ht="15" hidden="0">
      <x:c r="B18" s="3" t="s">
        <x:v>16</x:v>
      </x:c>
      <x:c r="C18" s="7" t="s">
        <x:v>53</x:v>
      </x:c>
      <x:c r="D18" s="6"/>
      <x:c r="E18" s="7" t="s">
        <x:v>53</x:v>
      </x:c>
      <x:c r="F18" s="6"/>
      <x:c r="G18" s="6"/>
      <x:c r="H18" s="7" t="s">
        <x:v>53</x:v>
      </x:c>
      <x:c r="I18" s="6"/>
      <x:c r="J18" s="6"/>
      <x:c r="K18" s="6"/>
      <x:c r="L18" s="6"/>
      <x:c r="M18" s="7" t="s">
        <x:v>53</x:v>
      </x:c>
      <x:c r="N18" s="6"/>
      <x:c r="O18" s="7" t="s">
        <x:v>53</x:v>
      </x:c>
      <x:c r="P18" s="6"/>
      <x:c r="Q18" s="6"/>
      <x:c r="R18" s="4" t="s">
        <x:v>51</x:v>
      </x:c>
      <x:c r="S18" s="6"/>
      <x:c r="T18" s="6"/>
      <x:c r="U18" s="7" t="s">
        <x:v>53</x:v>
      </x:c>
      <x:c r="V18" s="6"/>
      <x:c r="W18" s="7" t="s">
        <x:v>53</x:v>
      </x:c>
      <x:c r="X18" s="7" t="s">
        <x:v>53</x:v>
      </x:c>
      <x:c r="Y18" s="6"/>
      <x:c r="Z18" s="6"/>
      <x:c r="AA18" s="6"/>
      <x:c r="AB18" s="7" t="s">
        <x:v>53</x:v>
      </x:c>
      <x:c r="AC18" s="6"/>
      <x:c r="AD18" s="7" t="s">
        <x:v>53</x:v>
      </x:c>
      <x:c r="AE18" s="6"/>
      <x:c r="AF18" s="5" t="s">
        <x:v>52</x:v>
      </x:c>
      <x:c r="AG18" s="6"/>
      <x:c r="AH18" s="7" t="s">
        <x:v>53</x:v>
      </x:c>
      <x:c r="AI18" s="6"/>
      <x:c r="AJ18" s="7" t="s">
        <x:v>53</x:v>
      </x:c>
      <x:c r="AK18" s="6"/>
      <x:c r="AL18" s="6"/>
      <x:c r="AM18" s="6"/>
      <x:c r="AN18" s="6"/>
      <x:c r="AO18" s="7" t="s">
        <x:v>53</x:v>
      </x:c>
      <x:c r="AP18" s="6"/>
      <x:c r="AQ18" s="6"/>
      <x:c r="AR18" s="6"/>
      <x:c r="AS18" s="6"/>
      <x:c r="AT18" s="6"/>
      <x:c r="AU18" s="6"/>
      <x:c r="AV18" s="6"/>
      <x:c r="AW18" s="6"/>
      <x:c r="AX18" s="6"/>
      <x:c r="AY18" s="6"/>
      <x:c r="AZ18" s="6"/>
    </x:row>
    <x:row r="19" ht="15" hidden="0">
      <x:c r="B19" s="3" t="s">
        <x:v>17</x:v>
      </x:c>
      <x:c r="C19" s="6"/>
      <x:c r="D19" s="6"/>
      <x:c r="E19" s="6"/>
      <x:c r="F19" s="6"/>
      <x:c r="G19" s="6"/>
      <x:c r="H19" s="6"/>
      <x:c r="I19" s="6"/>
      <x:c r="J19" s="6"/>
      <x:c r="K19" s="6"/>
      <x:c r="L19" s="6"/>
      <x:c r="M19" s="6"/>
      <x:c r="N19" s="6"/>
      <x:c r="O19" s="6"/>
      <x:c r="P19" s="6"/>
      <x:c r="Q19" s="7" t="s">
        <x:v>53</x:v>
      </x:c>
      <x:c r="R19" s="6"/>
      <x:c r="S19" s="4" t="s">
        <x:v>51</x:v>
      </x:c>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6"/>
      <x:c r="AY19" s="6"/>
      <x:c r="AZ19" s="6"/>
    </x:row>
    <x:row r="20" ht="15" hidden="0">
      <x:c r="B20" s="3" t="s">
        <x:v>18</x:v>
      </x:c>
      <x:c r="C20" s="6"/>
      <x:c r="D20" s="6"/>
      <x:c r="E20" s="7" t="s">
        <x:v>53</x:v>
      </x:c>
      <x:c r="F20" s="6"/>
      <x:c r="G20" s="6"/>
      <x:c r="H20" s="6"/>
      <x:c r="I20" s="6"/>
      <x:c r="J20" s="6"/>
      <x:c r="K20" s="6"/>
      <x:c r="L20" s="7" t="s">
        <x:v>53</x:v>
      </x:c>
      <x:c r="M20" s="6"/>
      <x:c r="N20" s="6"/>
      <x:c r="O20" s="7" t="s">
        <x:v>53</x:v>
      </x:c>
      <x:c r="P20" s="6"/>
      <x:c r="Q20" s="6"/>
      <x:c r="R20" s="6"/>
      <x:c r="S20" s="6"/>
      <x:c r="T20" s="4" t="s">
        <x:v>51</x:v>
      </x:c>
      <x:c r="U20" s="6"/>
      <x:c r="V20" s="6"/>
      <x:c r="W20" s="7" t="s">
        <x:v>53</x:v>
      </x:c>
      <x:c r="X20" s="7" t="s">
        <x:v>53</x:v>
      </x:c>
      <x:c r="Y20" s="6"/>
      <x:c r="Z20" s="6"/>
      <x:c r="AA20" s="6"/>
      <x:c r="AB20" s="6"/>
      <x:c r="AC20" s="6"/>
      <x:c r="AD20" s="6"/>
      <x:c r="AE20" s="7" t="s">
        <x:v>53</x:v>
      </x:c>
      <x:c r="AF20" s="6"/>
      <x:c r="AG20" s="6"/>
      <x:c r="AH20" s="7" t="s">
        <x:v>53</x:v>
      </x:c>
      <x:c r="AI20" s="6"/>
      <x:c r="AJ20" s="6"/>
      <x:c r="AK20" s="6"/>
      <x:c r="AL20" s="6"/>
      <x:c r="AM20" s="7" t="s">
        <x:v>53</x:v>
      </x:c>
      <x:c r="AN20" s="6"/>
      <x:c r="AO20" s="6"/>
      <x:c r="AP20" s="6"/>
      <x:c r="AQ20" s="6"/>
      <x:c r="AR20" s="6"/>
      <x:c r="AS20" s="6"/>
      <x:c r="AT20" s="6"/>
      <x:c r="AU20" s="6"/>
      <x:c r="AV20" s="6"/>
      <x:c r="AW20" s="6"/>
      <x:c r="AX20" s="6"/>
      <x:c r="AY20" s="6"/>
      <x:c r="AZ20" s="6"/>
    </x:row>
    <x:row r="21" ht="15" hidden="0">
      <x:c r="B21" s="3" t="s">
        <x:v>19</x:v>
      </x:c>
      <x:c r="C21" s="6"/>
      <x:c r="D21" s="6"/>
      <x:c r="E21" s="6"/>
      <x:c r="F21" s="5" t="s">
        <x:v>52</x:v>
      </x:c>
      <x:c r="G21" s="6"/>
      <x:c r="H21" s="7" t="s">
        <x:v>53</x:v>
      </x:c>
      <x:c r="I21" s="6"/>
      <x:c r="J21" s="6"/>
      <x:c r="K21" s="6"/>
      <x:c r="L21" s="6"/>
      <x:c r="M21" s="6"/>
      <x:c r="N21" s="6"/>
      <x:c r="O21" s="6"/>
      <x:c r="P21" s="7" t="s">
        <x:v>53</x:v>
      </x:c>
      <x:c r="Q21" s="6"/>
      <x:c r="R21" s="7" t="s">
        <x:v>53</x:v>
      </x:c>
      <x:c r="S21" s="6"/>
      <x:c r="T21" s="6"/>
      <x:c r="U21" s="4" t="s">
        <x:v>51</x:v>
      </x:c>
      <x:c r="V21" s="6"/>
      <x:c r="W21" s="6"/>
      <x:c r="X21" s="7" t="s">
        <x:v>53</x:v>
      </x:c>
      <x:c r="Y21" s="6"/>
      <x:c r="Z21" s="6"/>
      <x:c r="AA21" s="6"/>
      <x:c r="AB21" s="7" t="s">
        <x:v>53</x:v>
      </x:c>
      <x:c r="AC21" s="6"/>
      <x:c r="AD21" s="6"/>
      <x:c r="AE21" s="6"/>
      <x:c r="AF21" s="6"/>
      <x:c r="AG21" s="6"/>
      <x:c r="AH21" s="6"/>
      <x:c r="AI21" s="6"/>
      <x:c r="AJ21" s="6"/>
      <x:c r="AK21" s="6"/>
      <x:c r="AL21" s="6"/>
      <x:c r="AM21" s="6"/>
      <x:c r="AN21" s="6"/>
      <x:c r="AO21" s="6"/>
      <x:c r="AP21" s="6"/>
      <x:c r="AQ21" s="6"/>
      <x:c r="AR21" s="6"/>
      <x:c r="AS21" s="6"/>
      <x:c r="AT21" s="6"/>
      <x:c r="AU21" s="6"/>
      <x:c r="AV21" s="6"/>
      <x:c r="AW21" s="6"/>
      <x:c r="AX21" s="6"/>
      <x:c r="AY21" s="6"/>
      <x:c r="AZ21" s="6"/>
    </x:row>
    <x:row r="22" ht="15" hidden="0">
      <x:c r="B22" s="3" t="s">
        <x:v>20</x:v>
      </x:c>
      <x:c r="C22" s="6"/>
      <x:c r="D22" s="6"/>
      <x:c r="E22" s="6"/>
      <x:c r="F22" s="6"/>
      <x:c r="G22" s="6"/>
      <x:c r="H22" s="6"/>
      <x:c r="I22" s="6"/>
      <x:c r="J22" s="6"/>
      <x:c r="K22" s="6"/>
      <x:c r="L22" s="7" t="s">
        <x:v>53</x:v>
      </x:c>
      <x:c r="M22" s="7" t="s">
        <x:v>53</x:v>
      </x:c>
      <x:c r="N22" s="6"/>
      <x:c r="O22" s="7" t="s">
        <x:v>53</x:v>
      </x:c>
      <x:c r="P22" s="5" t="s">
        <x:v>52</x:v>
      </x:c>
      <x:c r="Q22" s="6"/>
      <x:c r="R22" s="6"/>
      <x:c r="S22" s="6"/>
      <x:c r="T22" s="6"/>
      <x:c r="U22" s="6"/>
      <x:c r="V22" s="4" t="s">
        <x:v>51</x:v>
      </x:c>
      <x:c r="W22" s="6"/>
      <x:c r="X22" s="6"/>
      <x:c r="Y22" s="6"/>
      <x:c r="Z22" s="6"/>
      <x:c r="AA22" s="6"/>
      <x:c r="AB22" s="7" t="s">
        <x:v>53</x:v>
      </x:c>
      <x:c r="AC22" s="6"/>
      <x:c r="AD22" s="6"/>
      <x:c r="AE22" s="6"/>
      <x:c r="AF22" s="6"/>
      <x:c r="AG22" s="6"/>
      <x:c r="AH22" s="6"/>
      <x:c r="AI22" s="6"/>
      <x:c r="AJ22" s="6"/>
      <x:c r="AK22" s="6"/>
      <x:c r="AL22" s="6"/>
      <x:c r="AM22" s="7" t="s">
        <x:v>53</x:v>
      </x:c>
      <x:c r="AN22" s="6"/>
      <x:c r="AO22" s="6"/>
      <x:c r="AP22" s="6"/>
      <x:c r="AQ22" s="6"/>
      <x:c r="AR22" s="6"/>
      <x:c r="AS22" s="6"/>
      <x:c r="AT22" s="7" t="s">
        <x:v>53</x:v>
      </x:c>
      <x:c r="AU22" s="6"/>
      <x:c r="AV22" s="6"/>
      <x:c r="AW22" s="6"/>
      <x:c r="AX22" s="7" t="s">
        <x:v>53</x:v>
      </x:c>
      <x:c r="AY22" s="7" t="s">
        <x:v>53</x:v>
      </x:c>
      <x:c r="AZ22" s="6"/>
    </x:row>
    <x:row r="23" ht="15" hidden="0">
      <x:c r="B23" s="3" t="s">
        <x:v>21</x:v>
      </x:c>
      <x:c r="C23" s="5" t="s">
        <x:v>52</x:v>
      </x:c>
      <x:c r="D23" s="6"/>
      <x:c r="E23" s="5" t="s">
        <x:v>52</x:v>
      </x:c>
      <x:c r="F23" s="6"/>
      <x:c r="G23" s="6"/>
      <x:c r="H23" s="8" t="s">
        <x:v>54</x:v>
      </x:c>
      <x:c r="I23" s="8" t="s">
        <x:v>54</x:v>
      </x:c>
      <x:c r="J23" s="6"/>
      <x:c r="K23" s="6"/>
      <x:c r="L23" s="7" t="s">
        <x:v>53</x:v>
      </x:c>
      <x:c r="M23" s="7" t="s">
        <x:v>53</x:v>
      </x:c>
      <x:c r="N23" s="7" t="s">
        <x:v>53</x:v>
      </x:c>
      <x:c r="O23" s="7" t="s">
        <x:v>53</x:v>
      </x:c>
      <x:c r="P23" s="7" t="s">
        <x:v>53</x:v>
      </x:c>
      <x:c r="Q23" s="7" t="s">
        <x:v>53</x:v>
      </x:c>
      <x:c r="R23" s="7" t="s">
        <x:v>53</x:v>
      </x:c>
      <x:c r="S23" s="6"/>
      <x:c r="T23" s="7" t="s">
        <x:v>53</x:v>
      </x:c>
      <x:c r="U23" s="6"/>
      <x:c r="V23" s="6"/>
      <x:c r="W23" s="4" t="s">
        <x:v>51</x:v>
      </x:c>
      <x:c r="X23" s="7" t="s">
        <x:v>53</x:v>
      </x:c>
      <x:c r="Y23" s="7" t="s">
        <x:v>53</x:v>
      </x:c>
      <x:c r="Z23" s="5" t="s">
        <x:v>52</x:v>
      </x:c>
      <x:c r="AA23" s="7" t="s">
        <x:v>53</x:v>
      </x:c>
      <x:c r="AB23" s="7" t="s">
        <x:v>53</x:v>
      </x:c>
      <x:c r="AC23" s="6"/>
      <x:c r="AD23" s="7" t="s">
        <x:v>53</x:v>
      </x:c>
      <x:c r="AE23" s="8" t="s">
        <x:v>54</x:v>
      </x:c>
      <x:c r="AF23" s="7" t="s">
        <x:v>53</x:v>
      </x:c>
      <x:c r="AG23" s="7" t="s">
        <x:v>53</x:v>
      </x:c>
      <x:c r="AH23" s="7" t="s">
        <x:v>53</x:v>
      </x:c>
      <x:c r="AI23" s="7" t="s">
        <x:v>53</x:v>
      </x:c>
      <x:c r="AJ23" s="7" t="s">
        <x:v>53</x:v>
      </x:c>
      <x:c r="AK23" s="7" t="s">
        <x:v>53</x:v>
      </x:c>
      <x:c r="AL23" s="6"/>
      <x:c r="AM23" s="7" t="s">
        <x:v>53</x:v>
      </x:c>
      <x:c r="AN23" s="6"/>
      <x:c r="AO23" s="6"/>
      <x:c r="AP23" s="6"/>
      <x:c r="AQ23" s="6"/>
      <x:c r="AR23" s="6"/>
      <x:c r="AS23" s="6"/>
      <x:c r="AT23" s="7" t="s">
        <x:v>53</x:v>
      </x:c>
      <x:c r="AU23" s="6"/>
      <x:c r="AV23" s="6"/>
      <x:c r="AW23" s="6"/>
      <x:c r="AX23" s="6"/>
      <x:c r="AY23" s="6"/>
      <x:c r="AZ23" s="6"/>
    </x:row>
    <x:row r="24" ht="15" hidden="0">
      <x:c r="B24" s="3" t="s">
        <x:v>22</x:v>
      </x:c>
      <x:c r="C24" s="7" t="s">
        <x:v>53</x:v>
      </x:c>
      <x:c r="D24" s="7" t="s">
        <x:v>53</x:v>
      </x:c>
      <x:c r="E24" s="7" t="s">
        <x:v>53</x:v>
      </x:c>
      <x:c r="F24" s="6"/>
      <x:c r="G24" s="7" t="s">
        <x:v>53</x:v>
      </x:c>
      <x:c r="H24" s="7" t="s">
        <x:v>53</x:v>
      </x:c>
      <x:c r="I24" s="6"/>
      <x:c r="J24" s="7" t="s">
        <x:v>53</x:v>
      </x:c>
      <x:c r="K24" s="6"/>
      <x:c r="L24" s="8" t="s">
        <x:v>54</x:v>
      </x:c>
      <x:c r="M24" s="7" t="s">
        <x:v>53</x:v>
      </x:c>
      <x:c r="N24" s="6"/>
      <x:c r="O24" s="8" t="s">
        <x:v>54</x:v>
      </x:c>
      <x:c r="P24" s="7" t="s">
        <x:v>53</x:v>
      </x:c>
      <x:c r="Q24" s="7" t="s">
        <x:v>53</x:v>
      </x:c>
      <x:c r="R24" s="7" t="s">
        <x:v>53</x:v>
      </x:c>
      <x:c r="S24" s="6"/>
      <x:c r="T24" s="7" t="s">
        <x:v>53</x:v>
      </x:c>
      <x:c r="U24" s="7" t="s">
        <x:v>53</x:v>
      </x:c>
      <x:c r="V24" s="6"/>
      <x:c r="W24" s="7" t="s">
        <x:v>53</x:v>
      </x:c>
      <x:c r="X24" s="4" t="s">
        <x:v>51</x:v>
      </x:c>
      <x:c r="Y24" s="6"/>
      <x:c r="Z24" s="6"/>
      <x:c r="AA24" s="7" t="s">
        <x:v>53</x:v>
      </x:c>
      <x:c r="AB24" s="7" t="s">
        <x:v>53</x:v>
      </x:c>
      <x:c r="AC24" s="6"/>
      <x:c r="AD24" s="6"/>
      <x:c r="AE24" s="7" t="s">
        <x:v>53</x:v>
      </x:c>
      <x:c r="AF24" s="6"/>
      <x:c r="AG24" s="6"/>
      <x:c r="AH24" s="7" t="s">
        <x:v>53</x:v>
      </x:c>
      <x:c r="AI24" s="6"/>
      <x:c r="AJ24" s="7" t="s">
        <x:v>53</x:v>
      </x:c>
      <x:c r="AK24" s="7" t="s">
        <x:v>53</x:v>
      </x:c>
      <x:c r="AL24" s="6"/>
      <x:c r="AM24" s="7" t="s">
        <x:v>53</x:v>
      </x:c>
      <x:c r="AN24" s="6"/>
      <x:c r="AO24" s="6"/>
      <x:c r="AP24" s="7" t="s">
        <x:v>53</x:v>
      </x:c>
      <x:c r="AQ24" s="7" t="s">
        <x:v>53</x:v>
      </x:c>
      <x:c r="AR24" s="7" t="s">
        <x:v>53</x:v>
      </x:c>
      <x:c r="AS24" s="6"/>
      <x:c r="AT24" s="7" t="s">
        <x:v>53</x:v>
      </x:c>
      <x:c r="AU24" s="7" t="s">
        <x:v>53</x:v>
      </x:c>
      <x:c r="AV24" s="7" t="s">
        <x:v>53</x:v>
      </x:c>
      <x:c r="AW24" s="6"/>
      <x:c r="AX24" s="7" t="s">
        <x:v>53</x:v>
      </x:c>
      <x:c r="AY24" s="7" t="s">
        <x:v>53</x:v>
      </x:c>
      <x:c r="AZ24" s="7" t="s">
        <x:v>53</x:v>
      </x:c>
    </x:row>
    <x:row r="25" ht="15" hidden="0">
      <x:c r="B25" s="3" t="s">
        <x:v>23</x:v>
      </x:c>
      <x:c r="C25" s="6"/>
      <x:c r="D25" s="6"/>
      <x:c r="E25" s="6"/>
      <x:c r="F25" s="6"/>
      <x:c r="G25" s="6"/>
      <x:c r="H25" s="6"/>
      <x:c r="I25" s="5" t="s">
        <x:v>52</x:v>
      </x:c>
      <x:c r="J25" s="7" t="s">
        <x:v>53</x:v>
      </x:c>
      <x:c r="K25" s="7" t="s">
        <x:v>53</x:v>
      </x:c>
      <x:c r="L25" s="7" t="s">
        <x:v>53</x:v>
      </x:c>
      <x:c r="M25" s="6"/>
      <x:c r="N25" s="7" t="s">
        <x:v>53</x:v>
      </x:c>
      <x:c r="O25" s="6"/>
      <x:c r="P25" s="6"/>
      <x:c r="Q25" s="7" t="s">
        <x:v>53</x:v>
      </x:c>
      <x:c r="R25" s="6"/>
      <x:c r="S25" s="6"/>
      <x:c r="T25" s="6"/>
      <x:c r="U25" s="6"/>
      <x:c r="V25" s="6"/>
      <x:c r="W25" s="7" t="s">
        <x:v>53</x:v>
      </x:c>
      <x:c r="X25" s="6"/>
      <x:c r="Y25" s="4" t="s">
        <x:v>51</x:v>
      </x:c>
      <x:c r="Z25" s="6"/>
      <x:c r="AA25" s="6"/>
      <x:c r="AB25" s="6"/>
      <x:c r="AC25" s="6"/>
      <x:c r="AD25" s="6"/>
      <x:c r="AE25" s="7" t="s">
        <x:v>53</x:v>
      </x:c>
      <x:c r="AF25" s="6"/>
      <x:c r="AG25" s="6"/>
      <x:c r="AH25" s="7" t="s">
        <x:v>53</x:v>
      </x:c>
      <x:c r="AI25" s="6"/>
      <x:c r="AJ25" s="6"/>
      <x:c r="AK25" s="6"/>
      <x:c r="AL25" s="6"/>
      <x:c r="AM25" s="7" t="s">
        <x:v>53</x:v>
      </x:c>
      <x:c r="AN25" s="8" t="s">
        <x:v>54</x:v>
      </x:c>
      <x:c r="AO25" s="6"/>
      <x:c r="AP25" s="6"/>
      <x:c r="AQ25" s="6"/>
      <x:c r="AR25" s="6"/>
      <x:c r="AS25" s="6"/>
      <x:c r="AT25" s="6"/>
      <x:c r="AU25" s="6"/>
      <x:c r="AV25" s="6"/>
      <x:c r="AW25" s="6"/>
      <x:c r="AX25" s="6"/>
      <x:c r="AY25" s="6"/>
      <x:c r="AZ25" s="6"/>
    </x:row>
    <x:row r="26" ht="15" hidden="0">
      <x:c r="B26" s="3" t="s">
        <x:v>24</x:v>
      </x:c>
      <x:c r="C26" s="7" t="s">
        <x:v>53</x:v>
      </x:c>
      <x:c r="D26" s="6"/>
      <x:c r="E26" s="6"/>
      <x:c r="F26" s="6"/>
      <x:c r="G26" s="6"/>
      <x:c r="H26" s="6"/>
      <x:c r="I26" s="5" t="s">
        <x:v>52</x:v>
      </x:c>
      <x:c r="J26" s="6"/>
      <x:c r="K26" s="6"/>
      <x:c r="L26" s="6"/>
      <x:c r="M26" s="7" t="s">
        <x:v>53</x:v>
      </x:c>
      <x:c r="N26" s="6"/>
      <x:c r="O26" s="6"/>
      <x:c r="P26" s="6"/>
      <x:c r="Q26" s="5" t="s">
        <x:v>52</x:v>
      </x:c>
      <x:c r="R26" s="6"/>
      <x:c r="S26" s="6"/>
      <x:c r="T26" s="6"/>
      <x:c r="U26" s="6"/>
      <x:c r="V26" s="6"/>
      <x:c r="W26" s="5" t="s">
        <x:v>52</x:v>
      </x:c>
      <x:c r="X26" s="6"/>
      <x:c r="Y26" s="6"/>
      <x:c r="Z26" s="4" t="s">
        <x:v>51</x:v>
      </x:c>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6"/>
      <x:c r="AY26" s="6"/>
      <x:c r="AZ26" s="6"/>
    </x:row>
    <x:row r="27" ht="15" hidden="0">
      <x:c r="B27" s="3" t="s">
        <x:v>25</x:v>
      </x:c>
      <x:c r="C27" s="6"/>
      <x:c r="D27" s="6"/>
      <x:c r="E27" s="6"/>
      <x:c r="F27" s="6"/>
      <x:c r="G27" s="6"/>
      <x:c r="H27" s="6"/>
      <x:c r="I27" s="6"/>
      <x:c r="J27" s="6"/>
      <x:c r="K27" s="6"/>
      <x:c r="L27" s="6"/>
      <x:c r="M27" s="6"/>
      <x:c r="N27" s="6"/>
      <x:c r="O27" s="7" t="s">
        <x:v>53</x:v>
      </x:c>
      <x:c r="P27" s="6"/>
      <x:c r="Q27" s="6"/>
      <x:c r="R27" s="6"/>
      <x:c r="S27" s="6"/>
      <x:c r="T27" s="6"/>
      <x:c r="U27" s="6"/>
      <x:c r="V27" s="6"/>
      <x:c r="W27" s="7" t="s">
        <x:v>53</x:v>
      </x:c>
      <x:c r="X27" s="7" t="s">
        <x:v>53</x:v>
      </x:c>
      <x:c r="Y27" s="6"/>
      <x:c r="Z27" s="6"/>
      <x:c r="AA27" s="4" t="s">
        <x:v>51</x:v>
      </x:c>
      <x:c r="AB27" s="6"/>
      <x:c r="AC27" s="6"/>
      <x:c r="AD27" s="6"/>
      <x:c r="AE27" s="7" t="s">
        <x:v>53</x:v>
      </x:c>
      <x:c r="AF27" s="7" t="s">
        <x:v>53</x:v>
      </x:c>
      <x:c r="AG27" s="6"/>
      <x:c r="AH27" s="6"/>
      <x:c r="AI27" s="6"/>
      <x:c r="AJ27" s="6"/>
      <x:c r="AK27" s="7" t="s">
        <x:v>53</x:v>
      </x:c>
      <x:c r="AL27" s="7" t="s">
        <x:v>53</x:v>
      </x:c>
      <x:c r="AM27" s="7" t="s">
        <x:v>53</x:v>
      </x:c>
      <x:c r="AN27" s="6"/>
      <x:c r="AO27" s="6"/>
      <x:c r="AP27" s="6"/>
      <x:c r="AQ27" s="6"/>
      <x:c r="AR27" s="6"/>
      <x:c r="AS27" s="6"/>
      <x:c r="AT27" s="6"/>
      <x:c r="AU27" s="6"/>
      <x:c r="AV27" s="6"/>
      <x:c r="AW27" s="6"/>
      <x:c r="AX27" s="6"/>
      <x:c r="AY27" s="6"/>
      <x:c r="AZ27" s="6"/>
    </x:row>
    <x:row r="28" ht="15" hidden="0">
      <x:c r="B28" s="3" t="s">
        <x:v>26</x:v>
      </x:c>
      <x:c r="C28" s="6"/>
      <x:c r="D28" s="5" t="s">
        <x:v>52</x:v>
      </x:c>
      <x:c r="E28" s="6"/>
      <x:c r="F28" s="6"/>
      <x:c r="G28" s="6"/>
      <x:c r="H28" s="7" t="s">
        <x:v>53</x:v>
      </x:c>
      <x:c r="I28" s="7" t="s">
        <x:v>53</x:v>
      </x:c>
      <x:c r="J28" s="7" t="s">
        <x:v>53</x:v>
      </x:c>
      <x:c r="K28" s="6"/>
      <x:c r="L28" s="7" t="s">
        <x:v>53</x:v>
      </x:c>
      <x:c r="M28" s="7" t="s">
        <x:v>53</x:v>
      </x:c>
      <x:c r="N28" s="6"/>
      <x:c r="O28" s="6"/>
      <x:c r="P28" s="7" t="s">
        <x:v>53</x:v>
      </x:c>
      <x:c r="Q28" s="6"/>
      <x:c r="R28" s="7" t="s">
        <x:v>53</x:v>
      </x:c>
      <x:c r="S28" s="6"/>
      <x:c r="T28" s="6"/>
      <x:c r="U28" s="7" t="s">
        <x:v>53</x:v>
      </x:c>
      <x:c r="V28" s="7" t="s">
        <x:v>53</x:v>
      </x:c>
      <x:c r="W28" s="7" t="s">
        <x:v>53</x:v>
      </x:c>
      <x:c r="X28" s="7" t="s">
        <x:v>53</x:v>
      </x:c>
      <x:c r="Y28" s="6"/>
      <x:c r="Z28" s="6"/>
      <x:c r="AA28" s="6"/>
      <x:c r="AB28" s="4" t="s">
        <x:v>51</x:v>
      </x:c>
      <x:c r="AC28" s="6"/>
      <x:c r="AD28" s="8" t="s">
        <x:v>54</x:v>
      </x:c>
      <x:c r="AE28" s="7" t="s">
        <x:v>53</x:v>
      </x:c>
      <x:c r="AF28" s="7" t="s">
        <x:v>53</x:v>
      </x:c>
      <x:c r="AG28" s="6"/>
      <x:c r="AH28" s="6"/>
      <x:c r="AI28" s="6"/>
      <x:c r="AJ28" s="7" t="s">
        <x:v>53</x:v>
      </x:c>
      <x:c r="AK28" s="6"/>
      <x:c r="AL28" s="6"/>
      <x:c r="AM28" s="7" t="s">
        <x:v>53</x:v>
      </x:c>
      <x:c r="AN28" s="6"/>
      <x:c r="AO28" s="6"/>
      <x:c r="AP28" s="6"/>
      <x:c r="AQ28" s="6"/>
      <x:c r="AR28" s="6"/>
      <x:c r="AS28" s="7" t="s">
        <x:v>53</x:v>
      </x:c>
      <x:c r="AT28" s="6"/>
      <x:c r="AU28" s="7" t="s">
        <x:v>53</x:v>
      </x:c>
      <x:c r="AV28" s="6"/>
      <x:c r="AW28" s="6"/>
      <x:c r="AX28" s="6"/>
      <x:c r="AY28" s="6"/>
      <x:c r="AZ28" s="7" t="s">
        <x:v>53</x:v>
      </x:c>
    </x:row>
    <x:row r="29" ht="15" hidden="0">
      <x:c r="B29" s="3" t="s">
        <x:v>27</x:v>
      </x:c>
      <x:c r="C29" s="6"/>
      <x:c r="D29" s="6"/>
      <x:c r="E29" s="6"/>
      <x:c r="F29" s="6"/>
      <x:c r="G29" s="6"/>
      <x:c r="H29" s="6"/>
      <x:c r="I29" s="6"/>
      <x:c r="J29" s="6"/>
      <x:c r="K29" s="6"/>
      <x:c r="L29" s="6"/>
      <x:c r="M29" s="5" t="s">
        <x:v>52</x:v>
      </x:c>
      <x:c r="N29" s="6"/>
      <x:c r="O29" s="6"/>
      <x:c r="P29" s="6"/>
      <x:c r="Q29" s="6"/>
      <x:c r="R29" s="6"/>
      <x:c r="S29" s="6"/>
      <x:c r="T29" s="6"/>
      <x:c r="U29" s="6"/>
      <x:c r="V29" s="6"/>
      <x:c r="W29" s="6"/>
      <x:c r="X29" s="6"/>
      <x:c r="Y29" s="6"/>
      <x:c r="Z29" s="6"/>
      <x:c r="AA29" s="6"/>
      <x:c r="AB29" s="6"/>
      <x:c r="AC29" s="4" t="s">
        <x:v>51</x:v>
      </x:c>
      <x:c r="AD29" s="6"/>
      <x:c r="AE29" s="6"/>
      <x:c r="AF29" s="6"/>
      <x:c r="AG29" s="6"/>
      <x:c r="AH29" s="6"/>
      <x:c r="AI29" s="6"/>
      <x:c r="AJ29" s="6"/>
      <x:c r="AK29" s="6"/>
      <x:c r="AL29" s="6"/>
      <x:c r="AM29" s="6"/>
      <x:c r="AN29" s="6"/>
      <x:c r="AO29" s="6"/>
      <x:c r="AP29" s="6"/>
      <x:c r="AQ29" s="6"/>
      <x:c r="AR29" s="6"/>
      <x:c r="AS29" s="6"/>
      <x:c r="AT29" s="6"/>
      <x:c r="AU29" s="6"/>
      <x:c r="AV29" s="6"/>
      <x:c r="AW29" s="6"/>
      <x:c r="AX29" s="6"/>
      <x:c r="AY29" s="6"/>
      <x:c r="AZ29" s="6"/>
    </x:row>
    <x:row r="30" ht="15" hidden="0">
      <x:c r="B30" s="3" t="s">
        <x:v>28</x:v>
      </x:c>
      <x:c r="C30" s="8" t="s">
        <x:v>54</x:v>
      </x:c>
      <x:c r="D30" s="6"/>
      <x:c r="E30" s="6"/>
      <x:c r="F30" s="6"/>
      <x:c r="G30" s="6"/>
      <x:c r="H30" s="6"/>
      <x:c r="I30" s="7" t="s">
        <x:v>53</x:v>
      </x:c>
      <x:c r="J30" s="6"/>
      <x:c r="K30" s="6"/>
      <x:c r="L30" s="7" t="s">
        <x:v>53</x:v>
      </x:c>
      <x:c r="M30" s="6"/>
      <x:c r="N30" s="7" t="s">
        <x:v>53</x:v>
      </x:c>
      <x:c r="O30" s="6"/>
      <x:c r="P30" s="6"/>
      <x:c r="Q30" s="7" t="s">
        <x:v>53</x:v>
      </x:c>
      <x:c r="R30" s="7" t="s">
        <x:v>53</x:v>
      </x:c>
      <x:c r="S30" s="6"/>
      <x:c r="T30" s="6"/>
      <x:c r="U30" s="6"/>
      <x:c r="V30" s="6"/>
      <x:c r="W30" s="7" t="s">
        <x:v>53</x:v>
      </x:c>
      <x:c r="X30" s="6"/>
      <x:c r="Y30" s="6"/>
      <x:c r="Z30" s="6"/>
      <x:c r="AA30" s="6"/>
      <x:c r="AB30" s="8" t="s">
        <x:v>54</x:v>
      </x:c>
      <x:c r="AC30" s="6"/>
      <x:c r="AD30" s="4" t="s">
        <x:v>51</x:v>
      </x:c>
      <x:c r="AE30" s="6"/>
      <x:c r="AF30" s="7" t="s">
        <x:v>53</x:v>
      </x:c>
      <x:c r="AG30" s="6"/>
      <x:c r="AH30" s="7" t="s">
        <x:v>53</x:v>
      </x:c>
      <x:c r="AI30" s="6"/>
      <x:c r="AJ30" s="7" t="s">
        <x:v>53</x:v>
      </x:c>
      <x:c r="AK30" s="6"/>
      <x:c r="AL30" s="6"/>
      <x:c r="AM30" s="8" t="s">
        <x:v>54</x:v>
      </x:c>
      <x:c r="AN30" s="7" t="s">
        <x:v>53</x:v>
      </x:c>
      <x:c r="AO30" s="6"/>
      <x:c r="AP30" s="6"/>
      <x:c r="AQ30" s="6"/>
      <x:c r="AR30" s="6"/>
      <x:c r="AS30" s="6"/>
      <x:c r="AT30" s="7" t="s">
        <x:v>53</x:v>
      </x:c>
      <x:c r="AU30" s="6"/>
      <x:c r="AV30" s="6"/>
      <x:c r="AW30" s="6"/>
      <x:c r="AX30" s="6"/>
      <x:c r="AY30" s="6"/>
      <x:c r="AZ30" s="6"/>
    </x:row>
    <x:row r="31" ht="15" hidden="0">
      <x:c r="B31" s="3" t="s">
        <x:v>29</x:v>
      </x:c>
      <x:c r="C31" s="7" t="s">
        <x:v>53</x:v>
      </x:c>
      <x:c r="D31" s="6"/>
      <x:c r="E31" s="6"/>
      <x:c r="F31" s="6"/>
      <x:c r="G31" s="6"/>
      <x:c r="H31" s="6"/>
      <x:c r="I31" s="5" t="s">
        <x:v>52</x:v>
      </x:c>
      <x:c r="J31" s="6"/>
      <x:c r="K31" s="5" t="s">
        <x:v>52</x:v>
      </x:c>
      <x:c r="L31" s="8" t="s">
        <x:v>54</x:v>
      </x:c>
      <x:c r="M31" s="6"/>
      <x:c r="N31" s="6"/>
      <x:c r="O31" s="6"/>
      <x:c r="P31" s="6"/>
      <x:c r="Q31" s="6"/>
      <x:c r="R31" s="6"/>
      <x:c r="S31" s="6"/>
      <x:c r="T31" s="7" t="s">
        <x:v>53</x:v>
      </x:c>
      <x:c r="U31" s="6"/>
      <x:c r="V31" s="6"/>
      <x:c r="W31" s="8" t="s">
        <x:v>54</x:v>
      </x:c>
      <x:c r="X31" s="7" t="s">
        <x:v>53</x:v>
      </x:c>
      <x:c r="Y31" s="7" t="s">
        <x:v>53</x:v>
      </x:c>
      <x:c r="Z31" s="6"/>
      <x:c r="AA31" s="7" t="s">
        <x:v>53</x:v>
      </x:c>
      <x:c r="AB31" s="7" t="s">
        <x:v>53</x:v>
      </x:c>
      <x:c r="AC31" s="6"/>
      <x:c r="AD31" s="6"/>
      <x:c r="AE31" s="4" t="s">
        <x:v>51</x:v>
      </x:c>
      <x:c r="AF31" s="6"/>
      <x:c r="AG31" s="6"/>
      <x:c r="AH31" s="6"/>
      <x:c r="AI31" s="6"/>
      <x:c r="AJ31" s="6"/>
      <x:c r="AK31" s="6"/>
      <x:c r="AL31" s="6"/>
      <x:c r="AM31" s="8" t="s">
        <x:v>54</x:v>
      </x:c>
      <x:c r="AN31" s="6"/>
      <x:c r="AO31" s="6"/>
      <x:c r="AP31" s="6"/>
      <x:c r="AQ31" s="6"/>
      <x:c r="AR31" s="6"/>
      <x:c r="AS31" s="6"/>
      <x:c r="AT31" s="7" t="s">
        <x:v>53</x:v>
      </x:c>
      <x:c r="AU31" s="6"/>
      <x:c r="AV31" s="6"/>
      <x:c r="AW31" s="6"/>
      <x:c r="AX31" s="6"/>
      <x:c r="AY31" s="6"/>
      <x:c r="AZ31" s="6"/>
    </x:row>
    <x:row r="32" ht="15" hidden="0">
      <x:c r="B32" s="3" t="s">
        <x:v>30</x:v>
      </x:c>
      <x:c r="C32" s="7" t="s">
        <x:v>53</x:v>
      </x:c>
      <x:c r="D32" s="5" t="s">
        <x:v>52</x:v>
      </x:c>
      <x:c r="E32" s="6"/>
      <x:c r="F32" s="6"/>
      <x:c r="G32" s="7" t="s">
        <x:v>53</x:v>
      </x:c>
      <x:c r="H32" s="6"/>
      <x:c r="I32" s="7" t="s">
        <x:v>53</x:v>
      </x:c>
      <x:c r="J32" s="6"/>
      <x:c r="K32" s="6"/>
      <x:c r="L32" s="6"/>
      <x:c r="M32" s="5" t="s">
        <x:v>52</x:v>
      </x:c>
      <x:c r="N32" s="6"/>
      <x:c r="O32" s="6"/>
      <x:c r="P32" s="6"/>
      <x:c r="Q32" s="7" t="s">
        <x:v>53</x:v>
      </x:c>
      <x:c r="R32" s="5" t="s">
        <x:v>52</x:v>
      </x:c>
      <x:c r="S32" s="6"/>
      <x:c r="T32" s="6"/>
      <x:c r="U32" s="6"/>
      <x:c r="V32" s="6"/>
      <x:c r="W32" s="7" t="s">
        <x:v>53</x:v>
      </x:c>
      <x:c r="X32" s="6"/>
      <x:c r="Y32" s="6"/>
      <x:c r="Z32" s="6"/>
      <x:c r="AA32" s="7" t="s">
        <x:v>53</x:v>
      </x:c>
      <x:c r="AB32" s="7" t="s">
        <x:v>53</x:v>
      </x:c>
      <x:c r="AC32" s="6"/>
      <x:c r="AD32" s="7" t="s">
        <x:v>53</x:v>
      </x:c>
      <x:c r="AE32" s="6"/>
      <x:c r="AF32" s="4" t="s">
        <x:v>51</x:v>
      </x:c>
      <x:c r="AG32" s="5" t="s">
        <x:v>52</x:v>
      </x:c>
      <x:c r="AH32" s="6"/>
      <x:c r="AI32" s="6"/>
      <x:c r="AJ32" s="7" t="s">
        <x:v>53</x:v>
      </x:c>
      <x:c r="AK32" s="5" t="s">
        <x:v>52</x:v>
      </x:c>
      <x:c r="AL32" s="6"/>
      <x:c r="AM32" s="5" t="s">
        <x:v>52</x:v>
      </x:c>
      <x:c r="AN32" s="6"/>
      <x:c r="AO32" s="6"/>
      <x:c r="AP32" s="6"/>
      <x:c r="AQ32" s="6"/>
      <x:c r="AR32" s="6"/>
      <x:c r="AS32" s="6"/>
      <x:c r="AT32" s="6"/>
      <x:c r="AU32" s="6"/>
      <x:c r="AV32" s="6"/>
      <x:c r="AW32" s="6"/>
      <x:c r="AX32" s="6"/>
      <x:c r="AY32" s="6"/>
      <x:c r="AZ32" s="6"/>
    </x:row>
    <x:row r="33" ht="15" hidden="0">
      <x:c r="B33" s="3" t="s">
        <x:v>31</x:v>
      </x:c>
      <x:c r="C33" s="6"/>
      <x:c r="D33" s="6"/>
      <x:c r="E33" s="6"/>
      <x:c r="F33" s="6"/>
      <x:c r="G33" s="6"/>
      <x:c r="H33" s="6"/>
      <x:c r="I33" s="6"/>
      <x:c r="J33" s="6"/>
      <x:c r="K33" s="6"/>
      <x:c r="L33" s="7" t="s">
        <x:v>53</x:v>
      </x:c>
      <x:c r="M33" s="6"/>
      <x:c r="N33" s="6"/>
      <x:c r="O33" s="7" t="s">
        <x:v>53</x:v>
      </x:c>
      <x:c r="P33" s="6"/>
      <x:c r="Q33" s="7" t="s">
        <x:v>53</x:v>
      </x:c>
      <x:c r="R33" s="6"/>
      <x:c r="S33" s="6"/>
      <x:c r="T33" s="6"/>
      <x:c r="U33" s="6"/>
      <x:c r="V33" s="6"/>
      <x:c r="W33" s="7" t="s">
        <x:v>53</x:v>
      </x:c>
      <x:c r="X33" s="6"/>
      <x:c r="Y33" s="6"/>
      <x:c r="Z33" s="6"/>
      <x:c r="AA33" s="6"/>
      <x:c r="AB33" s="6"/>
      <x:c r="AC33" s="6"/>
      <x:c r="AD33" s="6"/>
      <x:c r="AE33" s="6"/>
      <x:c r="AF33" s="5" t="s">
        <x:v>52</x:v>
      </x:c>
      <x:c r="AG33" s="4" t="s">
        <x:v>51</x:v>
      </x:c>
      <x:c r="AH33" s="7" t="s">
        <x:v>53</x:v>
      </x:c>
      <x:c r="AI33" s="6"/>
      <x:c r="AJ33" s="6"/>
      <x:c r="AK33" s="6"/>
      <x:c r="AL33" s="6"/>
      <x:c r="AM33" s="6"/>
      <x:c r="AN33" s="6"/>
      <x:c r="AO33" s="6"/>
      <x:c r="AP33" s="6"/>
      <x:c r="AQ33" s="6"/>
      <x:c r="AR33" s="6"/>
      <x:c r="AS33" s="6"/>
      <x:c r="AT33" s="7" t="s">
        <x:v>53</x:v>
      </x:c>
      <x:c r="AU33" s="6"/>
      <x:c r="AV33" s="6"/>
      <x:c r="AW33" s="6"/>
      <x:c r="AX33" s="6"/>
      <x:c r="AY33" s="6"/>
      <x:c r="AZ33" s="6"/>
    </x:row>
    <x:row r="34" ht="15" hidden="0">
      <x:c r="B34" s="3" t="s">
        <x:v>32</x:v>
      </x:c>
      <x:c r="C34" s="6"/>
      <x:c r="D34" s="6"/>
      <x:c r="E34" s="6"/>
      <x:c r="F34" s="7" t="s">
        <x:v>53</x:v>
      </x:c>
      <x:c r="G34" s="6"/>
      <x:c r="H34" s="6"/>
      <x:c r="I34" s="6"/>
      <x:c r="J34" s="6"/>
      <x:c r="K34" s="6"/>
      <x:c r="L34" s="6"/>
      <x:c r="M34" s="5" t="s">
        <x:v>52</x:v>
      </x:c>
      <x:c r="N34" s="6"/>
      <x:c r="O34" s="6"/>
      <x:c r="P34" s="7" t="s">
        <x:v>53</x:v>
      </x:c>
      <x:c r="Q34" s="6"/>
      <x:c r="R34" s="7" t="s">
        <x:v>53</x:v>
      </x:c>
      <x:c r="S34" s="6"/>
      <x:c r="T34" s="7" t="s">
        <x:v>53</x:v>
      </x:c>
      <x:c r="U34" s="6"/>
      <x:c r="V34" s="6"/>
      <x:c r="W34" s="7" t="s">
        <x:v>53</x:v>
      </x:c>
      <x:c r="X34" s="7" t="s">
        <x:v>53</x:v>
      </x:c>
      <x:c r="Y34" s="7" t="s">
        <x:v>53</x:v>
      </x:c>
      <x:c r="Z34" s="6"/>
      <x:c r="AA34" s="6"/>
      <x:c r="AB34" s="6"/>
      <x:c r="AC34" s="6"/>
      <x:c r="AD34" s="7" t="s">
        <x:v>53</x:v>
      </x:c>
      <x:c r="AE34" s="6"/>
      <x:c r="AF34" s="6"/>
      <x:c r="AG34" s="7" t="s">
        <x:v>53</x:v>
      </x:c>
      <x:c r="AH34" s="4" t="s">
        <x:v>51</x:v>
      </x:c>
      <x:c r="AI34" s="6"/>
      <x:c r="AJ34" s="7" t="s">
        <x:v>53</x:v>
      </x:c>
      <x:c r="AK34" s="7" t="s">
        <x:v>53</x:v>
      </x:c>
      <x:c r="AL34" s="6"/>
      <x:c r="AM34" s="6"/>
      <x:c r="AN34" s="6"/>
      <x:c r="AO34" s="6"/>
      <x:c r="AP34" s="7" t="s">
        <x:v>53</x:v>
      </x:c>
      <x:c r="AQ34" s="7" t="s">
        <x:v>53</x:v>
      </x:c>
      <x:c r="AR34" s="6"/>
      <x:c r="AS34" s="7" t="s">
        <x:v>53</x:v>
      </x:c>
      <x:c r="AT34" s="6"/>
      <x:c r="AU34" s="6"/>
      <x:c r="AV34" s="6"/>
      <x:c r="AW34" s="7" t="s">
        <x:v>53</x:v>
      </x:c>
      <x:c r="AX34" s="6"/>
      <x:c r="AY34" s="6"/>
      <x:c r="AZ34" s="6"/>
    </x:row>
    <x:row r="35" ht="15" hidden="0">
      <x:c r="B35" s="3" t="s">
        <x:v>33</x:v>
      </x:c>
      <x:c r="C35" s="6"/>
      <x:c r="D35" s="6"/>
      <x:c r="E35" s="8" t="s">
        <x:v>54</x:v>
      </x:c>
      <x:c r="F35" s="6"/>
      <x:c r="G35" s="6"/>
      <x:c r="H35" s="6"/>
      <x:c r="I35" s="6"/>
      <x:c r="J35" s="6"/>
      <x:c r="K35" s="6"/>
      <x:c r="L35" s="6"/>
      <x:c r="M35" s="6"/>
      <x:c r="N35" s="6"/>
      <x:c r="O35" s="6"/>
      <x:c r="P35" s="6"/>
      <x:c r="Q35" s="7" t="s">
        <x:v>53</x:v>
      </x:c>
      <x:c r="R35" s="6"/>
      <x:c r="S35" s="6"/>
      <x:c r="T35" s="6"/>
      <x:c r="U35" s="6"/>
      <x:c r="V35" s="6"/>
      <x:c r="W35" s="7" t="s">
        <x:v>53</x:v>
      </x:c>
      <x:c r="X35" s="6"/>
      <x:c r="Y35" s="6"/>
      <x:c r="Z35" s="6"/>
      <x:c r="AA35" s="6"/>
      <x:c r="AB35" s="6"/>
      <x:c r="AC35" s="6"/>
      <x:c r="AD35" s="6"/>
      <x:c r="AE35" s="6"/>
      <x:c r="AF35" s="6"/>
      <x:c r="AG35" s="6"/>
      <x:c r="AH35" s="6"/>
      <x:c r="AI35" s="4" t="s">
        <x:v>51</x:v>
      </x:c>
      <x:c r="AJ35" s="6"/>
      <x:c r="AK35" s="6"/>
      <x:c r="AL35" s="6"/>
      <x:c r="AM35" s="6"/>
      <x:c r="AN35" s="6"/>
      <x:c r="AO35" s="6"/>
      <x:c r="AP35" s="6"/>
      <x:c r="AQ35" s="6"/>
      <x:c r="AR35" s="6"/>
      <x:c r="AS35" s="6"/>
      <x:c r="AT35" s="6"/>
      <x:c r="AU35" s="6"/>
      <x:c r="AV35" s="6"/>
      <x:c r="AW35" s="6"/>
      <x:c r="AX35" s="6"/>
      <x:c r="AY35" s="6"/>
      <x:c r="AZ35" s="6"/>
    </x:row>
    <x:row r="36" ht="15" hidden="0">
      <x:c r="B36" s="3" t="s">
        <x:v>34</x:v>
      </x:c>
      <x:c r="C36" s="6"/>
      <x:c r="D36" s="7" t="s">
        <x:v>53</x:v>
      </x:c>
      <x:c r="E36" s="6"/>
      <x:c r="F36" s="6"/>
      <x:c r="G36" s="6"/>
      <x:c r="H36" s="6"/>
      <x:c r="I36" s="7" t="s">
        <x:v>53</x:v>
      </x:c>
      <x:c r="J36" s="6"/>
      <x:c r="K36" s="6"/>
      <x:c r="L36" s="6"/>
      <x:c r="M36" s="6"/>
      <x:c r="N36" s="7" t="s">
        <x:v>53</x:v>
      </x:c>
      <x:c r="O36" s="6"/>
      <x:c r="P36" s="6"/>
      <x:c r="Q36" s="6"/>
      <x:c r="R36" s="7" t="s">
        <x:v>53</x:v>
      </x:c>
      <x:c r="S36" s="6"/>
      <x:c r="T36" s="6"/>
      <x:c r="U36" s="6"/>
      <x:c r="V36" s="6"/>
      <x:c r="W36" s="7" t="s">
        <x:v>53</x:v>
      </x:c>
      <x:c r="X36" s="7" t="s">
        <x:v>53</x:v>
      </x:c>
      <x:c r="Y36" s="6"/>
      <x:c r="Z36" s="6"/>
      <x:c r="AA36" s="6"/>
      <x:c r="AB36" s="7" t="s">
        <x:v>53</x:v>
      </x:c>
      <x:c r="AC36" s="6"/>
      <x:c r="AD36" s="7" t="s">
        <x:v>53</x:v>
      </x:c>
      <x:c r="AE36" s="6"/>
      <x:c r="AF36" s="7" t="s">
        <x:v>53</x:v>
      </x:c>
      <x:c r="AG36" s="6"/>
      <x:c r="AH36" s="7" t="s">
        <x:v>53</x:v>
      </x:c>
      <x:c r="AI36" s="6"/>
      <x:c r="AJ36" s="4" t="s">
        <x:v>51</x:v>
      </x:c>
      <x:c r="AK36" s="7" t="s">
        <x:v>53</x:v>
      </x:c>
      <x:c r="AL36" s="6"/>
      <x:c r="AM36" s="6"/>
      <x:c r="AN36" s="6"/>
      <x:c r="AO36" s="6"/>
      <x:c r="AP36" s="7" t="s">
        <x:v>53</x:v>
      </x:c>
      <x:c r="AQ36" s="7" t="s">
        <x:v>53</x:v>
      </x:c>
      <x:c r="AR36" s="6"/>
      <x:c r="AS36" s="6"/>
      <x:c r="AT36" s="7" t="s">
        <x:v>53</x:v>
      </x:c>
      <x:c r="AU36" s="6"/>
      <x:c r="AV36" s="6"/>
      <x:c r="AW36" s="7" t="s">
        <x:v>53</x:v>
      </x:c>
      <x:c r="AX36" s="7" t="s">
        <x:v>53</x:v>
      </x:c>
      <x:c r="AY36" s="6"/>
      <x:c r="AZ36" s="6"/>
    </x:row>
    <x:row r="37" ht="15" hidden="0">
      <x:c r="B37" s="3" t="s">
        <x:v>35</x:v>
      </x:c>
      <x:c r="C37" s="6"/>
      <x:c r="D37" s="6"/>
      <x:c r="E37" s="6"/>
      <x:c r="F37" s="6"/>
      <x:c r="G37" s="6"/>
      <x:c r="H37" s="6"/>
      <x:c r="I37" s="6"/>
      <x:c r="J37" s="6"/>
      <x:c r="K37" s="6"/>
      <x:c r="L37" s="6"/>
      <x:c r="M37" s="6"/>
      <x:c r="N37" s="6"/>
      <x:c r="O37" s="6"/>
      <x:c r="P37" s="6"/>
      <x:c r="Q37" s="7" t="s">
        <x:v>53</x:v>
      </x:c>
      <x:c r="R37" s="6"/>
      <x:c r="S37" s="6"/>
      <x:c r="T37" s="6"/>
      <x:c r="U37" s="6"/>
      <x:c r="V37" s="6"/>
      <x:c r="W37" s="7" t="s">
        <x:v>53</x:v>
      </x:c>
      <x:c r="X37" s="7" t="s">
        <x:v>53</x:v>
      </x:c>
      <x:c r="Y37" s="6"/>
      <x:c r="Z37" s="6"/>
      <x:c r="AA37" s="7" t="s">
        <x:v>53</x:v>
      </x:c>
      <x:c r="AB37" s="6"/>
      <x:c r="AC37" s="6"/>
      <x:c r="AD37" s="6"/>
      <x:c r="AE37" s="6"/>
      <x:c r="AF37" s="5" t="s">
        <x:v>52</x:v>
      </x:c>
      <x:c r="AG37" s="6"/>
      <x:c r="AH37" s="7" t="s">
        <x:v>53</x:v>
      </x:c>
      <x:c r="AI37" s="6"/>
      <x:c r="AJ37" s="7" t="s">
        <x:v>53</x:v>
      </x:c>
      <x:c r="AK37" s="4" t="s">
        <x:v>51</x:v>
      </x:c>
      <x:c r="AL37" s="6"/>
      <x:c r="AM37" s="6"/>
      <x:c r="AN37" s="6"/>
      <x:c r="AO37" s="6"/>
      <x:c r="AP37" s="6"/>
      <x:c r="AQ37" s="6"/>
      <x:c r="AR37" s="6"/>
      <x:c r="AS37" s="6"/>
      <x:c r="AT37" s="6"/>
      <x:c r="AU37" s="6"/>
      <x:c r="AV37" s="6"/>
      <x:c r="AW37" s="6"/>
      <x:c r="AX37" s="6"/>
      <x:c r="AY37" s="6"/>
      <x:c r="AZ37" s="6"/>
    </x:row>
    <x:row r="38" ht="15" hidden="0">
      <x:c r="B38" s="3" t="s">
        <x:v>36</x:v>
      </x:c>
      <x:c r="C38" s="6"/>
      <x:c r="D38" s="6"/>
      <x:c r="E38" s="6"/>
      <x:c r="F38" s="6"/>
      <x:c r="G38" s="6"/>
      <x:c r="H38" s="6"/>
      <x:c r="I38" s="6"/>
      <x:c r="J38" s="6"/>
      <x:c r="K38" s="6"/>
      <x:c r="L38" s="6"/>
      <x:c r="M38" s="6"/>
      <x:c r="N38" s="6"/>
      <x:c r="O38" s="6"/>
      <x:c r="P38" s="6"/>
      <x:c r="Q38" s="6"/>
      <x:c r="R38" s="6"/>
      <x:c r="S38" s="6"/>
      <x:c r="T38" s="6"/>
      <x:c r="U38" s="6"/>
      <x:c r="V38" s="6"/>
      <x:c r="W38" s="6"/>
      <x:c r="X38" s="6"/>
      <x:c r="Y38" s="6"/>
      <x:c r="Z38" s="6"/>
      <x:c r="AA38" s="7" t="s">
        <x:v>53</x:v>
      </x:c>
      <x:c r="AB38" s="6"/>
      <x:c r="AC38" s="6"/>
      <x:c r="AD38" s="6"/>
      <x:c r="AE38" s="6"/>
      <x:c r="AF38" s="6"/>
      <x:c r="AG38" s="6"/>
      <x:c r="AH38" s="6"/>
      <x:c r="AI38" s="6"/>
      <x:c r="AJ38" s="6"/>
      <x:c r="AK38" s="6"/>
      <x:c r="AL38" s="4" t="s">
        <x:v>51</x:v>
      </x:c>
      <x:c r="AM38" s="6"/>
      <x:c r="AN38" s="6"/>
      <x:c r="AO38" s="6"/>
      <x:c r="AP38" s="6"/>
      <x:c r="AQ38" s="6"/>
      <x:c r="AR38" s="6"/>
      <x:c r="AS38" s="6"/>
      <x:c r="AT38" s="6"/>
      <x:c r="AU38" s="6"/>
      <x:c r="AV38" s="6"/>
      <x:c r="AW38" s="6"/>
      <x:c r="AX38" s="6"/>
      <x:c r="AY38" s="6"/>
      <x:c r="AZ38" s="6"/>
    </x:row>
    <x:row r="39" ht="15" hidden="0">
      <x:c r="B39" s="3" t="s">
        <x:v>37</x:v>
      </x:c>
      <x:c r="C39" s="7" t="s">
        <x:v>53</x:v>
      </x:c>
      <x:c r="D39" s="7" t="s">
        <x:v>53</x:v>
      </x:c>
      <x:c r="E39" s="6"/>
      <x:c r="F39" s="6"/>
      <x:c r="G39" s="6"/>
      <x:c r="H39" s="5" t="s">
        <x:v>52</x:v>
      </x:c>
      <x:c r="I39" s="8" t="s">
        <x:v>54</x:v>
      </x:c>
      <x:c r="J39" s="7" t="s">
        <x:v>53</x:v>
      </x:c>
      <x:c r="K39" s="6"/>
      <x:c r="L39" s="7" t="s">
        <x:v>53</x:v>
      </x:c>
      <x:c r="M39" s="7" t="s">
        <x:v>53</x:v>
      </x:c>
      <x:c r="N39" s="6"/>
      <x:c r="O39" s="7" t="s">
        <x:v>53</x:v>
      </x:c>
      <x:c r="P39" s="6"/>
      <x:c r="Q39" s="8" t="s">
        <x:v>54</x:v>
      </x:c>
      <x:c r="R39" s="6"/>
      <x:c r="S39" s="6"/>
      <x:c r="T39" s="7" t="s">
        <x:v>53</x:v>
      </x:c>
      <x:c r="U39" s="6"/>
      <x:c r="V39" s="7" t="s">
        <x:v>53</x:v>
      </x:c>
      <x:c r="W39" s="7" t="s">
        <x:v>53</x:v>
      </x:c>
      <x:c r="X39" s="7" t="s">
        <x:v>53</x:v>
      </x:c>
      <x:c r="Y39" s="7" t="s">
        <x:v>53</x:v>
      </x:c>
      <x:c r="Z39" s="6"/>
      <x:c r="AA39" s="7" t="s">
        <x:v>53</x:v>
      </x:c>
      <x:c r="AB39" s="7" t="s">
        <x:v>53</x:v>
      </x:c>
      <x:c r="AC39" s="6"/>
      <x:c r="AD39" s="8" t="s">
        <x:v>54</x:v>
      </x:c>
      <x:c r="AE39" s="8" t="s">
        <x:v>54</x:v>
      </x:c>
      <x:c r="AF39" s="5" t="s">
        <x:v>52</x:v>
      </x:c>
      <x:c r="AG39" s="6"/>
      <x:c r="AH39" s="6"/>
      <x:c r="AI39" s="6"/>
      <x:c r="AJ39" s="6"/>
      <x:c r="AK39" s="6"/>
      <x:c r="AL39" s="6"/>
      <x:c r="AM39" s="4" t="s">
        <x:v>51</x:v>
      </x:c>
      <x:c r="AN39" s="6"/>
      <x:c r="AO39" s="7" t="s">
        <x:v>53</x:v>
      </x:c>
      <x:c r="AP39" s="6"/>
      <x:c r="AQ39" s="6"/>
      <x:c r="AR39" s="7" t="s">
        <x:v>53</x:v>
      </x:c>
      <x:c r="AS39" s="6"/>
      <x:c r="AT39" s="6"/>
      <x:c r="AU39" s="6"/>
      <x:c r="AV39" s="6"/>
      <x:c r="AW39" s="6"/>
      <x:c r="AX39" s="6"/>
      <x:c r="AY39" s="6"/>
      <x:c r="AZ39" s="6"/>
    </x:row>
    <x:row r="40" ht="15" hidden="0">
      <x:c r="B40" s="3" t="s">
        <x:v>38</x:v>
      </x:c>
      <x:c r="C40" s="6"/>
      <x:c r="D40" s="6"/>
      <x:c r="E40" s="6"/>
      <x:c r="F40" s="6"/>
      <x:c r="G40" s="6"/>
      <x:c r="H40" s="6"/>
      <x:c r="I40" s="6"/>
      <x:c r="J40" s="7" t="s">
        <x:v>53</x:v>
      </x:c>
      <x:c r="K40" s="6"/>
      <x:c r="L40" s="6"/>
      <x:c r="M40" s="6"/>
      <x:c r="N40" s="6"/>
      <x:c r="O40" s="6"/>
      <x:c r="P40" s="6"/>
      <x:c r="Q40" s="6"/>
      <x:c r="R40" s="6"/>
      <x:c r="S40" s="6"/>
      <x:c r="T40" s="6"/>
      <x:c r="U40" s="6"/>
      <x:c r="V40" s="6"/>
      <x:c r="W40" s="6"/>
      <x:c r="X40" s="6"/>
      <x:c r="Y40" s="8" t="s">
        <x:v>54</x:v>
      </x:c>
      <x:c r="Z40" s="6"/>
      <x:c r="AA40" s="6"/>
      <x:c r="AB40" s="6"/>
      <x:c r="AC40" s="6"/>
      <x:c r="AD40" s="7" t="s">
        <x:v>53</x:v>
      </x:c>
      <x:c r="AE40" s="6"/>
      <x:c r="AF40" s="6"/>
      <x:c r="AG40" s="6"/>
      <x:c r="AH40" s="6"/>
      <x:c r="AI40" s="6"/>
      <x:c r="AJ40" s="6"/>
      <x:c r="AK40" s="6"/>
      <x:c r="AL40" s="6"/>
      <x:c r="AM40" s="6"/>
      <x:c r="AN40" s="4" t="s">
        <x:v>51</x:v>
      </x:c>
      <x:c r="AO40" s="6"/>
      <x:c r="AP40" s="6"/>
      <x:c r="AQ40" s="6"/>
      <x:c r="AR40" s="6"/>
      <x:c r="AS40" s="6"/>
      <x:c r="AT40" s="6"/>
      <x:c r="AU40" s="6"/>
      <x:c r="AV40" s="6"/>
      <x:c r="AW40" s="6"/>
      <x:c r="AX40" s="6"/>
      <x:c r="AY40" s="6"/>
      <x:c r="AZ40" s="6"/>
    </x:row>
    <x:row r="41" ht="15" hidden="0">
      <x:c r="B41" s="3" t="s">
        <x:v>39</x:v>
      </x:c>
      <x:c r="C41" s="6"/>
      <x:c r="D41" s="6"/>
      <x:c r="E41" s="6"/>
      <x:c r="F41" s="6"/>
      <x:c r="G41" s="6"/>
      <x:c r="H41" s="6"/>
      <x:c r="I41" s="6"/>
      <x:c r="J41" s="6"/>
      <x:c r="K41" s="6"/>
      <x:c r="L41" s="6"/>
      <x:c r="M41" s="6"/>
      <x:c r="N41" s="6"/>
      <x:c r="O41" s="6"/>
      <x:c r="P41" s="6"/>
      <x:c r="Q41" s="6"/>
      <x:c r="R41" s="7" t="s">
        <x:v>53</x:v>
      </x:c>
      <x:c r="S41" s="6"/>
      <x:c r="T41" s="6"/>
      <x:c r="U41" s="6"/>
      <x:c r="V41" s="6"/>
      <x:c r="W41" s="6"/>
      <x:c r="X41" s="6"/>
      <x:c r="Y41" s="6"/>
      <x:c r="Z41" s="6"/>
      <x:c r="AA41" s="6"/>
      <x:c r="AB41" s="6"/>
      <x:c r="AC41" s="6"/>
      <x:c r="AD41" s="6"/>
      <x:c r="AE41" s="6"/>
      <x:c r="AF41" s="6"/>
      <x:c r="AG41" s="6"/>
      <x:c r="AH41" s="6"/>
      <x:c r="AI41" s="6"/>
      <x:c r="AJ41" s="6"/>
      <x:c r="AK41" s="6"/>
      <x:c r="AL41" s="6"/>
      <x:c r="AM41" s="7" t="s">
        <x:v>53</x:v>
      </x:c>
      <x:c r="AN41" s="6"/>
      <x:c r="AO41" s="4" t="s">
        <x:v>51</x:v>
      </x:c>
      <x:c r="AP41" s="6"/>
      <x:c r="AQ41" s="6"/>
      <x:c r="AR41" s="6"/>
      <x:c r="AS41" s="6"/>
      <x:c r="AT41" s="7" t="s">
        <x:v>53</x:v>
      </x:c>
      <x:c r="AU41" s="6"/>
      <x:c r="AV41" s="6"/>
      <x:c r="AW41" s="6"/>
      <x:c r="AX41" s="6"/>
      <x:c r="AY41" s="6"/>
      <x:c r="AZ41" s="6"/>
    </x:row>
    <x:row r="42" ht="15" hidden="0">
      <x:c r="B42" s="3" t="s">
        <x:v>40</x:v>
      </x:c>
      <x:c r="C42" s="6"/>
      <x:c r="D42" s="6"/>
      <x:c r="E42" s="6"/>
      <x:c r="F42" s="6"/>
      <x:c r="G42" s="6"/>
      <x:c r="H42" s="6"/>
      <x:c r="I42" s="6"/>
      <x:c r="J42" s="6"/>
      <x:c r="K42" s="6"/>
      <x:c r="L42" s="6"/>
      <x:c r="M42" s="6"/>
      <x:c r="N42" s="6"/>
      <x:c r="O42" s="6"/>
      <x:c r="P42" s="6"/>
      <x:c r="Q42" s="6"/>
      <x:c r="R42" s="6"/>
      <x:c r="S42" s="6"/>
      <x:c r="T42" s="6"/>
      <x:c r="U42" s="6"/>
      <x:c r="V42" s="6"/>
      <x:c r="W42" s="6"/>
      <x:c r="X42" s="7" t="s">
        <x:v>53</x:v>
      </x:c>
      <x:c r="Y42" s="6"/>
      <x:c r="Z42" s="6"/>
      <x:c r="AA42" s="6"/>
      <x:c r="AB42" s="6"/>
      <x:c r="AC42" s="6"/>
      <x:c r="AD42" s="6"/>
      <x:c r="AE42" s="6"/>
      <x:c r="AF42" s="6"/>
      <x:c r="AG42" s="6"/>
      <x:c r="AH42" s="7" t="s">
        <x:v>53</x:v>
      </x:c>
      <x:c r="AI42" s="6"/>
      <x:c r="AJ42" s="7" t="s">
        <x:v>53</x:v>
      </x:c>
      <x:c r="AK42" s="6"/>
      <x:c r="AL42" s="6"/>
      <x:c r="AM42" s="6"/>
      <x:c r="AN42" s="6"/>
      <x:c r="AO42" s="6"/>
      <x:c r="AP42" s="4" t="s">
        <x:v>51</x:v>
      </x:c>
      <x:c r="AQ42" s="6"/>
      <x:c r="AR42" s="6"/>
      <x:c r="AS42" s="7" t="s">
        <x:v>53</x:v>
      </x:c>
      <x:c r="AT42" s="6"/>
      <x:c r="AU42" s="6"/>
      <x:c r="AV42" s="6"/>
      <x:c r="AW42" s="6"/>
      <x:c r="AX42" s="6"/>
      <x:c r="AY42" s="6"/>
      <x:c r="AZ42" s="6"/>
    </x:row>
    <x:row r="43" ht="15" hidden="0">
      <x:c r="B43" s="3" t="s">
        <x:v>41</x:v>
      </x:c>
      <x:c r="C43" s="6"/>
      <x:c r="D43" s="6"/>
      <x:c r="E43" s="6"/>
      <x:c r="F43" s="6"/>
      <x:c r="G43" s="6"/>
      <x:c r="H43" s="6"/>
      <x:c r="I43" s="6"/>
      <x:c r="J43" s="6"/>
      <x:c r="K43" s="6"/>
      <x:c r="L43" s="6"/>
      <x:c r="M43" s="6"/>
      <x:c r="N43" s="6"/>
      <x:c r="O43" s="6"/>
      <x:c r="P43" s="6"/>
      <x:c r="Q43" s="6"/>
      <x:c r="R43" s="6"/>
      <x:c r="S43" s="6"/>
      <x:c r="T43" s="6"/>
      <x:c r="U43" s="6"/>
      <x:c r="V43" s="6"/>
      <x:c r="W43" s="6"/>
      <x:c r="X43" s="7" t="s">
        <x:v>53</x:v>
      </x:c>
      <x:c r="Y43" s="6"/>
      <x:c r="Z43" s="6"/>
      <x:c r="AA43" s="6"/>
      <x:c r="AB43" s="6"/>
      <x:c r="AC43" s="6"/>
      <x:c r="AD43" s="6"/>
      <x:c r="AE43" s="6"/>
      <x:c r="AF43" s="6"/>
      <x:c r="AG43" s="6"/>
      <x:c r="AH43" s="7" t="s">
        <x:v>53</x:v>
      </x:c>
      <x:c r="AI43" s="6"/>
      <x:c r="AJ43" s="7" t="s">
        <x:v>53</x:v>
      </x:c>
      <x:c r="AK43" s="6"/>
      <x:c r="AL43" s="6"/>
      <x:c r="AM43" s="6"/>
      <x:c r="AN43" s="6"/>
      <x:c r="AO43" s="6"/>
      <x:c r="AP43" s="6"/>
      <x:c r="AQ43" s="4" t="s">
        <x:v>51</x:v>
      </x:c>
      <x:c r="AR43" s="6"/>
      <x:c r="AS43" s="6"/>
      <x:c r="AT43" s="6"/>
      <x:c r="AU43" s="6"/>
      <x:c r="AV43" s="6"/>
      <x:c r="AW43" s="6"/>
      <x:c r="AX43" s="6"/>
      <x:c r="AY43" s="6"/>
      <x:c r="AZ43" s="6"/>
    </x:row>
    <x:row r="44" ht="15" hidden="0">
      <x:c r="B44" s="3" t="s">
        <x:v>42</x:v>
      </x:c>
      <x:c r="C44" s="6"/>
      <x:c r="D44" s="6"/>
      <x:c r="E44" s="6"/>
      <x:c r="F44" s="6"/>
      <x:c r="G44" s="6"/>
      <x:c r="H44" s="6"/>
      <x:c r="I44" s="6"/>
      <x:c r="J44" s="6"/>
      <x:c r="K44" s="6"/>
      <x:c r="L44" s="6"/>
      <x:c r="M44" s="6"/>
      <x:c r="N44" s="6"/>
      <x:c r="O44" s="6"/>
      <x:c r="P44" s="6"/>
      <x:c r="Q44" s="6"/>
      <x:c r="R44" s="6"/>
      <x:c r="S44" s="6"/>
      <x:c r="T44" s="6"/>
      <x:c r="U44" s="6"/>
      <x:c r="V44" s="6"/>
      <x:c r="W44" s="6"/>
      <x:c r="X44" s="7" t="s">
        <x:v>53</x:v>
      </x:c>
      <x:c r="Y44" s="6"/>
      <x:c r="Z44" s="6"/>
      <x:c r="AA44" s="6"/>
      <x:c r="AB44" s="6"/>
      <x:c r="AC44" s="6"/>
      <x:c r="AD44" s="6"/>
      <x:c r="AE44" s="6"/>
      <x:c r="AF44" s="6"/>
      <x:c r="AG44" s="6"/>
      <x:c r="AH44" s="6"/>
      <x:c r="AI44" s="6"/>
      <x:c r="AJ44" s="6"/>
      <x:c r="AK44" s="6"/>
      <x:c r="AL44" s="6"/>
      <x:c r="AM44" s="7" t="s">
        <x:v>53</x:v>
      </x:c>
      <x:c r="AN44" s="6"/>
      <x:c r="AO44" s="6"/>
      <x:c r="AP44" s="6"/>
      <x:c r="AQ44" s="6"/>
      <x:c r="AR44" s="4" t="s">
        <x:v>51</x:v>
      </x:c>
      <x:c r="AS44" s="6"/>
      <x:c r="AT44" s="7" t="s">
        <x:v>53</x:v>
      </x:c>
      <x:c r="AU44" s="6"/>
      <x:c r="AV44" s="6"/>
      <x:c r="AW44" s="6"/>
      <x:c r="AX44" s="6"/>
      <x:c r="AY44" s="7" t="s">
        <x:v>53</x:v>
      </x:c>
      <x:c r="AZ44" s="6"/>
    </x:row>
    <x:row r="45" ht="15" hidden="0">
      <x:c r="B45" s="3" t="s">
        <x:v>43</x:v>
      </x:c>
      <x:c r="C45" s="6"/>
      <x:c r="D45" s="6"/>
      <x:c r="E45" s="6"/>
      <x:c r="F45" s="6"/>
      <x:c r="G45" s="6"/>
      <x:c r="H45" s="6"/>
      <x:c r="I45" s="6"/>
      <x:c r="J45" s="6"/>
      <x:c r="K45" s="6"/>
      <x:c r="L45" s="6"/>
      <x:c r="M45" s="6"/>
      <x:c r="N45" s="6"/>
      <x:c r="O45" s="6"/>
      <x:c r="P45" s="6"/>
      <x:c r="Q45" s="6"/>
      <x:c r="R45" s="6"/>
      <x:c r="S45" s="6"/>
      <x:c r="T45" s="6"/>
      <x:c r="U45" s="6"/>
      <x:c r="V45" s="6"/>
      <x:c r="W45" s="6"/>
      <x:c r="X45" s="6"/>
      <x:c r="Y45" s="6"/>
      <x:c r="Z45" s="6"/>
      <x:c r="AA45" s="6"/>
      <x:c r="AB45" s="7" t="s">
        <x:v>53</x:v>
      </x:c>
      <x:c r="AC45" s="6"/>
      <x:c r="AD45" s="6"/>
      <x:c r="AE45" s="6"/>
      <x:c r="AF45" s="6"/>
      <x:c r="AG45" s="6"/>
      <x:c r="AH45" s="7" t="s">
        <x:v>53</x:v>
      </x:c>
      <x:c r="AI45" s="6"/>
      <x:c r="AJ45" s="6"/>
      <x:c r="AK45" s="6"/>
      <x:c r="AL45" s="6"/>
      <x:c r="AM45" s="6"/>
      <x:c r="AN45" s="6"/>
      <x:c r="AO45" s="6"/>
      <x:c r="AP45" s="7" t="s">
        <x:v>53</x:v>
      </x:c>
      <x:c r="AQ45" s="6"/>
      <x:c r="AR45" s="6"/>
      <x:c r="AS45" s="4" t="s">
        <x:v>51</x:v>
      </x:c>
      <x:c r="AT45" s="6"/>
      <x:c r="AU45" s="6"/>
      <x:c r="AV45" s="6"/>
      <x:c r="AW45" s="6"/>
      <x:c r="AX45" s="6"/>
      <x:c r="AY45" s="6"/>
      <x:c r="AZ45" s="6"/>
    </x:row>
    <x:row r="46" ht="15" hidden="0">
      <x:c r="B46" s="3" t="s">
        <x:v>44</x:v>
      </x:c>
      <x:c r="C46" s="6"/>
      <x:c r="D46" s="6"/>
      <x:c r="E46" s="6"/>
      <x:c r="F46" s="6"/>
      <x:c r="G46" s="6"/>
      <x:c r="H46" s="6"/>
      <x:c r="I46" s="6"/>
      <x:c r="J46" s="6"/>
      <x:c r="K46" s="6"/>
      <x:c r="L46" s="7" t="s">
        <x:v>53</x:v>
      </x:c>
      <x:c r="M46" s="6"/>
      <x:c r="N46" s="6"/>
      <x:c r="O46" s="6"/>
      <x:c r="P46" s="6"/>
      <x:c r="Q46" s="6"/>
      <x:c r="R46" s="6"/>
      <x:c r="S46" s="6"/>
      <x:c r="T46" s="6"/>
      <x:c r="U46" s="6"/>
      <x:c r="V46" s="7" t="s">
        <x:v>53</x:v>
      </x:c>
      <x:c r="W46" s="7" t="s">
        <x:v>53</x:v>
      </x:c>
      <x:c r="X46" s="7" t="s">
        <x:v>53</x:v>
      </x:c>
      <x:c r="Y46" s="6"/>
      <x:c r="Z46" s="6"/>
      <x:c r="AA46" s="6"/>
      <x:c r="AB46" s="6"/>
      <x:c r="AC46" s="6"/>
      <x:c r="AD46" s="7" t="s">
        <x:v>53</x:v>
      </x:c>
      <x:c r="AE46" s="7" t="s">
        <x:v>53</x:v>
      </x:c>
      <x:c r="AF46" s="6"/>
      <x:c r="AG46" s="7" t="s">
        <x:v>53</x:v>
      </x:c>
      <x:c r="AH46" s="6"/>
      <x:c r="AI46" s="6"/>
      <x:c r="AJ46" s="7" t="s">
        <x:v>53</x:v>
      </x:c>
      <x:c r="AK46" s="6"/>
      <x:c r="AL46" s="6"/>
      <x:c r="AM46" s="6"/>
      <x:c r="AN46" s="6"/>
      <x:c r="AO46" s="7" t="s">
        <x:v>53</x:v>
      </x:c>
      <x:c r="AP46" s="6"/>
      <x:c r="AQ46" s="6"/>
      <x:c r="AR46" s="7" t="s">
        <x:v>53</x:v>
      </x:c>
      <x:c r="AS46" s="6"/>
      <x:c r="AT46" s="4" t="s">
        <x:v>51</x:v>
      </x:c>
      <x:c r="AU46" s="6"/>
      <x:c r="AV46" s="7" t="s">
        <x:v>53</x:v>
      </x:c>
      <x:c r="AW46" s="6"/>
      <x:c r="AX46" s="6"/>
      <x:c r="AY46" s="6"/>
      <x:c r="AZ46" s="6"/>
    </x:row>
    <x:row r="47" ht="15" hidden="0">
      <x:c r="B47" s="3" t="s">
        <x:v>45</x:v>
      </x:c>
      <x:c r="C47" s="7" t="s">
        <x:v>53</x:v>
      </x:c>
      <x:c r="D47" s="6"/>
      <x:c r="E47" s="6"/>
      <x:c r="F47" s="6"/>
      <x:c r="G47" s="6"/>
      <x:c r="H47" s="6"/>
      <x:c r="I47" s="6"/>
      <x:c r="J47" s="6"/>
      <x:c r="K47" s="6"/>
      <x:c r="L47" s="6"/>
      <x:c r="M47" s="6"/>
      <x:c r="N47" s="6"/>
      <x:c r="O47" s="6"/>
      <x:c r="P47" s="6"/>
      <x:c r="Q47" s="6"/>
      <x:c r="R47" s="6"/>
      <x:c r="S47" s="6"/>
      <x:c r="T47" s="6"/>
      <x:c r="U47" s="6"/>
      <x:c r="V47" s="6"/>
      <x:c r="W47" s="6"/>
      <x:c r="X47" s="7" t="s">
        <x:v>53</x:v>
      </x:c>
      <x:c r="Y47" s="6"/>
      <x:c r="Z47" s="6"/>
      <x:c r="AA47" s="6"/>
      <x:c r="AB47" s="7" t="s">
        <x:v>53</x:v>
      </x:c>
      <x:c r="AC47" s="6"/>
      <x:c r="AD47" s="6"/>
      <x:c r="AE47" s="6"/>
      <x:c r="AF47" s="6"/>
      <x:c r="AG47" s="6"/>
      <x:c r="AH47" s="6"/>
      <x:c r="AI47" s="6"/>
      <x:c r="AJ47" s="6"/>
      <x:c r="AK47" s="6"/>
      <x:c r="AL47" s="6"/>
      <x:c r="AM47" s="6"/>
      <x:c r="AN47" s="6"/>
      <x:c r="AO47" s="6"/>
      <x:c r="AP47" s="6"/>
      <x:c r="AQ47" s="6"/>
      <x:c r="AR47" s="6"/>
      <x:c r="AS47" s="6"/>
      <x:c r="AT47" s="6"/>
      <x:c r="AU47" s="4" t="s">
        <x:v>51</x:v>
      </x:c>
      <x:c r="AV47" s="6"/>
      <x:c r="AW47" s="7" t="s">
        <x:v>53</x:v>
      </x:c>
      <x:c r="AX47" s="6"/>
      <x:c r="AY47" s="6"/>
      <x:c r="AZ47" s="6"/>
    </x:row>
    <x:row r="48" ht="15" hidden="0">
      <x:c r="B48" s="3" t="s">
        <x:v>46</x:v>
      </x:c>
      <x:c r="C48" s="6"/>
      <x:c r="D48" s="6"/>
      <x:c r="E48" s="6"/>
      <x:c r="F48" s="6"/>
      <x:c r="G48" s="6"/>
      <x:c r="H48" s="6"/>
      <x:c r="I48" s="6"/>
      <x:c r="J48" s="6"/>
      <x:c r="K48" s="6"/>
      <x:c r="L48" s="7" t="s">
        <x:v>53</x:v>
      </x:c>
      <x:c r="M48" s="6"/>
      <x:c r="N48" s="6"/>
      <x:c r="O48" s="6"/>
      <x:c r="P48" s="6"/>
      <x:c r="Q48" s="6"/>
      <x:c r="R48" s="6"/>
      <x:c r="S48" s="6"/>
      <x:c r="T48" s="6"/>
      <x:c r="U48" s="6"/>
      <x:c r="V48" s="6"/>
      <x:c r="W48" s="6"/>
      <x:c r="X48" s="7" t="s">
        <x:v>53</x:v>
      </x:c>
      <x:c r="Y48" s="6"/>
      <x:c r="Z48" s="6"/>
      <x:c r="AA48" s="6"/>
      <x:c r="AB48" s="6"/>
      <x:c r="AC48" s="6"/>
      <x:c r="AD48" s="6"/>
      <x:c r="AE48" s="6"/>
      <x:c r="AF48" s="6"/>
      <x:c r="AG48" s="6"/>
      <x:c r="AH48" s="6"/>
      <x:c r="AI48" s="6"/>
      <x:c r="AJ48" s="6"/>
      <x:c r="AK48" s="6"/>
      <x:c r="AL48" s="6"/>
      <x:c r="AM48" s="6"/>
      <x:c r="AN48" s="6"/>
      <x:c r="AO48" s="6"/>
      <x:c r="AP48" s="6"/>
      <x:c r="AQ48" s="6"/>
      <x:c r="AR48" s="6"/>
      <x:c r="AS48" s="6"/>
      <x:c r="AT48" s="7" t="s">
        <x:v>53</x:v>
      </x:c>
      <x:c r="AU48" s="6"/>
      <x:c r="AV48" s="4" t="s">
        <x:v>51</x:v>
      </x:c>
      <x:c r="AW48" s="6"/>
      <x:c r="AX48" s="6"/>
      <x:c r="AY48" s="6"/>
      <x:c r="AZ48" s="6"/>
    </x:row>
    <x:row r="49" ht="15" hidden="0">
      <x:c r="B49" s="3" t="s">
        <x:v>47</x:v>
      </x:c>
      <x:c r="C49" s="6"/>
      <x:c r="D49" s="6"/>
      <x:c r="E49" s="6"/>
      <x:c r="F49" s="6"/>
      <x:c r="G49" s="6"/>
      <x:c r="H49" s="6"/>
      <x:c r="I49" s="6"/>
      <x:c r="J49" s="6"/>
      <x:c r="K49" s="6"/>
      <x:c r="L49" s="6"/>
      <x:c r="M49" s="6"/>
      <x:c r="N49" s="6"/>
      <x:c r="O49" s="6"/>
      <x:c r="P49" s="6"/>
      <x:c r="Q49" s="6"/>
      <x:c r="R49" s="6"/>
      <x:c r="S49" s="6"/>
      <x:c r="T49" s="6"/>
      <x:c r="U49" s="6"/>
      <x:c r="V49" s="6"/>
      <x:c r="W49" s="6"/>
      <x:c r="X49" s="6"/>
      <x:c r="Y49" s="6"/>
      <x:c r="Z49" s="6"/>
      <x:c r="AA49" s="6"/>
      <x:c r="AB49" s="6"/>
      <x:c r="AC49" s="6"/>
      <x:c r="AD49" s="6"/>
      <x:c r="AE49" s="6"/>
      <x:c r="AF49" s="6"/>
      <x:c r="AG49" s="6"/>
      <x:c r="AH49" s="7" t="s">
        <x:v>53</x:v>
      </x:c>
      <x:c r="AI49" s="6"/>
      <x:c r="AJ49" s="7" t="s">
        <x:v>53</x:v>
      </x:c>
      <x:c r="AK49" s="6"/>
      <x:c r="AL49" s="6"/>
      <x:c r="AM49" s="6"/>
      <x:c r="AN49" s="6"/>
      <x:c r="AO49" s="6"/>
      <x:c r="AP49" s="6"/>
      <x:c r="AQ49" s="6"/>
      <x:c r="AR49" s="6"/>
      <x:c r="AS49" s="6"/>
      <x:c r="AT49" s="6"/>
      <x:c r="AU49" s="7" t="s">
        <x:v>53</x:v>
      </x:c>
      <x:c r="AV49" s="6"/>
      <x:c r="AW49" s="4" t="s">
        <x:v>51</x:v>
      </x:c>
      <x:c r="AX49" s="6"/>
      <x:c r="AY49" s="6"/>
      <x:c r="AZ49" s="6"/>
    </x:row>
    <x:row r="50" ht="15" hidden="0">
      <x:c r="B50" s="3" t="s">
        <x:v>48</x:v>
      </x:c>
      <x:c r="C50" s="6"/>
      <x:c r="D50" s="6"/>
      <x:c r="E50" s="6"/>
      <x:c r="F50" s="6"/>
      <x:c r="G50" s="6"/>
      <x:c r="H50" s="6"/>
      <x:c r="I50" s="6"/>
      <x:c r="J50" s="6"/>
      <x:c r="K50" s="6"/>
      <x:c r="L50" s="6"/>
      <x:c r="M50" s="6"/>
      <x:c r="N50" s="6"/>
      <x:c r="O50" s="6"/>
      <x:c r="P50" s="6"/>
      <x:c r="Q50" s="6"/>
      <x:c r="R50" s="6"/>
      <x:c r="S50" s="6"/>
      <x:c r="T50" s="6"/>
      <x:c r="U50" s="6"/>
      <x:c r="V50" s="7" t="s">
        <x:v>53</x:v>
      </x:c>
      <x:c r="W50" s="6"/>
      <x:c r="X50" s="7" t="s">
        <x:v>53</x:v>
      </x:c>
      <x:c r="Y50" s="6"/>
      <x:c r="Z50" s="6"/>
      <x:c r="AA50" s="6"/>
      <x:c r="AB50" s="6"/>
      <x:c r="AC50" s="6"/>
      <x:c r="AD50" s="6"/>
      <x:c r="AE50" s="6"/>
      <x:c r="AF50" s="6"/>
      <x:c r="AG50" s="6"/>
      <x:c r="AH50" s="6"/>
      <x:c r="AI50" s="6"/>
      <x:c r="AJ50" s="7" t="s">
        <x:v>53</x:v>
      </x:c>
      <x:c r="AK50" s="6"/>
      <x:c r="AL50" s="6"/>
      <x:c r="AM50" s="6"/>
      <x:c r="AN50" s="6"/>
      <x:c r="AO50" s="6"/>
      <x:c r="AP50" s="6"/>
      <x:c r="AQ50" s="6"/>
      <x:c r="AR50" s="6"/>
      <x:c r="AS50" s="6"/>
      <x:c r="AT50" s="6"/>
      <x:c r="AU50" s="6"/>
      <x:c r="AV50" s="6"/>
      <x:c r="AW50" s="6"/>
      <x:c r="AX50" s="4" t="s">
        <x:v>51</x:v>
      </x:c>
      <x:c r="AY50" s="6"/>
      <x:c r="AZ50" s="6"/>
    </x:row>
    <x:row r="51" ht="15" hidden="0">
      <x:c r="B51" s="3" t="s">
        <x:v>49</x:v>
      </x:c>
      <x:c r="C51" s="6"/>
      <x:c r="D51" s="6"/>
      <x:c r="E51" s="6"/>
      <x:c r="F51" s="6"/>
      <x:c r="G51" s="6"/>
      <x:c r="H51" s="6"/>
      <x:c r="I51" s="6"/>
      <x:c r="J51" s="6"/>
      <x:c r="K51" s="6"/>
      <x:c r="L51" s="6"/>
      <x:c r="M51" s="6"/>
      <x:c r="N51" s="6"/>
      <x:c r="O51" s="6"/>
      <x:c r="P51" s="6"/>
      <x:c r="Q51" s="6"/>
      <x:c r="R51" s="6"/>
      <x:c r="S51" s="6"/>
      <x:c r="T51" s="6"/>
      <x:c r="U51" s="6"/>
      <x:c r="V51" s="7" t="s">
        <x:v>53</x:v>
      </x:c>
      <x:c r="W51" s="6"/>
      <x:c r="X51" s="7" t="s">
        <x:v>53</x:v>
      </x:c>
      <x:c r="Y51" s="6"/>
      <x:c r="Z51" s="6"/>
      <x:c r="AA51" s="6"/>
      <x:c r="AB51" s="6"/>
      <x:c r="AC51" s="6"/>
      <x:c r="AD51" s="6"/>
      <x:c r="AE51" s="6"/>
      <x:c r="AF51" s="6"/>
      <x:c r="AG51" s="6"/>
      <x:c r="AH51" s="6"/>
      <x:c r="AI51" s="6"/>
      <x:c r="AJ51" s="6"/>
      <x:c r="AK51" s="6"/>
      <x:c r="AL51" s="6"/>
      <x:c r="AM51" s="6"/>
      <x:c r="AN51" s="6"/>
      <x:c r="AO51" s="6"/>
      <x:c r="AP51" s="6"/>
      <x:c r="AQ51" s="6"/>
      <x:c r="AR51" s="7" t="s">
        <x:v>53</x:v>
      </x:c>
      <x:c r="AS51" s="6"/>
      <x:c r="AT51" s="6"/>
      <x:c r="AU51" s="6"/>
      <x:c r="AV51" s="6"/>
      <x:c r="AW51" s="6"/>
      <x:c r="AX51" s="6"/>
      <x:c r="AY51" s="4" t="s">
        <x:v>51</x:v>
      </x:c>
      <x:c r="AZ51" s="6"/>
    </x:row>
    <x:row r="52" ht="15" hidden="0">
      <x:c r="B52" s="3" t="s">
        <x:v>50</x:v>
      </x:c>
      <x:c r="C52" s="6"/>
      <x:c r="D52" s="6"/>
      <x:c r="E52" s="6"/>
      <x:c r="F52" s="6"/>
      <x:c r="G52" s="6"/>
      <x:c r="H52" s="6"/>
      <x:c r="I52" s="6"/>
      <x:c r="J52" s="6"/>
      <x:c r="K52" s="6"/>
      <x:c r="L52" s="6"/>
      <x:c r="M52" s="6"/>
      <x:c r="N52" s="6"/>
      <x:c r="O52" s="7" t="s">
        <x:v>53</x:v>
      </x:c>
      <x:c r="P52" s="6"/>
      <x:c r="Q52" s="6"/>
      <x:c r="R52" s="6"/>
      <x:c r="S52" s="6"/>
      <x:c r="T52" s="6"/>
      <x:c r="U52" s="6"/>
      <x:c r="V52" s="6"/>
      <x:c r="W52" s="6"/>
      <x:c r="X52" s="7" t="s">
        <x:v>53</x:v>
      </x:c>
      <x:c r="Y52" s="6"/>
      <x:c r="Z52" s="6"/>
      <x:c r="AA52" s="6"/>
      <x:c r="AB52" s="7" t="s">
        <x:v>53</x:v>
      </x:c>
      <x:c r="AC52" s="6"/>
      <x:c r="AD52" s="6"/>
      <x:c r="AE52" s="6"/>
      <x:c r="AF52" s="6"/>
      <x:c r="AG52" s="6"/>
      <x:c r="AH52" s="6"/>
      <x:c r="AI52" s="6"/>
      <x:c r="AJ52" s="6"/>
      <x:c r="AK52" s="6"/>
      <x:c r="AL52" s="6"/>
      <x:c r="AM52" s="6"/>
      <x:c r="AN52" s="6"/>
      <x:c r="AO52" s="6"/>
      <x:c r="AP52" s="6"/>
      <x:c r="AQ52" s="6"/>
      <x:c r="AR52" s="6"/>
      <x:c r="AS52" s="6"/>
      <x:c r="AT52" s="6"/>
      <x:c r="AU52" s="6"/>
      <x:c r="AV52" s="6"/>
      <x:c r="AW52" s="6"/>
      <x:c r="AX52" s="6"/>
      <x:c r="AY52" s="6"/>
      <x:c r="AZ52" s="4" t="s">
        <x:v>51</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2" max="2" width="14" hidden="0" customWidth="1"/>
    <x:col min="3" max="3" width="100" hidden="0" customWidth="1"/>
  </x:cols>
  <x:sheetData>
    <x:row r="2" ht="17.350000381469727" hidden="0">
      <x:c r="B2" s="1" t="s">
        <x:v>55</x:v>
      </x:c>
    </x:row>
    <x:row r="4" ht="15" hidden="0">
      <x:c r="B4" s="9" t="s">
        <x:v>53</x:v>
      </x:c>
      <x:c r="C4" t="s">
        <x:v>56</x:v>
      </x:c>
    </x:row>
    <x:row r="5" ht="15" hidden="0">
      <x:c r="B5" s="10" t="s">
        <x:v>52</x:v>
      </x:c>
      <x:c r="C5" t="s">
        <x:v>57</x:v>
      </x:c>
    </x:row>
    <x:row r="6" ht="15" hidden="0">
      <x:c r="B6" s="11" t="s">
        <x:v>54</x:v>
      </x:c>
      <x:c r="C6" t="s">
        <x:v>58</x:v>
      </x:c>
    </x:row>
    <x:row r="7" ht="15" hidden="0">
      <x:c r="B7" s="12" t="s">
        <x:v>51</x:v>
      </x:c>
      <x:c r="C7" t="s">
        <x:v>59</x:v>
      </x:c>
    </x:row>
    <x:row r="8" ht="15" hidden="0">
      <x:c r="B8" s="13" t="s">
        <x:v>60</x:v>
      </x:c>
      <x:c r="C8" t="s">
        <x:v>61</x:v>
      </x:c>
    </x:row>
    <x:row r="10" ht="15" hidden="0">
      <x:c r="B10" s="14" t="s">
        <x:v>62</x:v>
      </x:c>
      <x:c r="C10" t="s">
        <x:v>63</x:v>
      </x:c>
    </x:row>
    <x:row r="11" ht="15" hidden="0">
      <x:c r="C11" t="s">
        <x:v>64</x:v>
      </x:c>
    </x:row>
    <x:row r="13" ht="15" hidden="0">
      <x:c r="B13" s="14" t="s">
        <x:v>65</x:v>
      </x:c>
      <x:c r="C13" t="s">
        <x:v>66</x:v>
      </x:c>
    </x:row>
    <x:row r="14" ht="15" hidden="0">
      <x:c r="C14" t="s">
        <x:v>67</x:v>
      </x:c>
    </x:row>
    <x:row r="16" ht="15" hidden="0">
      <x:c r="B16" s="14" t="s">
        <x:v>68</x:v>
      </x:c>
      <x:c r="C16" t="s">
        <x:v>69</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8" width="25" hidden="0" customWidth="1"/>
  </x:cols>
  <x:sheetData>
    <x:row r="1" ht="15" hidden="0">
      <x:c r="A1" s="15" t="s">
        <x:v>70</x:v>
      </x:c>
      <x:c r="B1" s="15" t="s">
        <x:v>71</x:v>
      </x:c>
      <x:c r="C1" s="15" t="s">
        <x:v>72</x:v>
      </x:c>
      <x:c r="D1" s="15" t="s">
        <x:v>73</x:v>
      </x:c>
      <x:c r="E1" s="15" t="s">
        <x:v>74</x:v>
      </x:c>
      <x:c r="F1" s="15" t="s">
        <x:v>75</x:v>
      </x:c>
      <x:c r="G1" s="15" t="s">
        <x:v>76</x:v>
      </x:c>
      <x:c r="H1" s="15" t="s">
        <x:v>77</x:v>
      </x:c>
    </x:row>
    <x:row r="2" ht="28.350000381469727" hidden="0">
      <x:c r="A2" t="s">
        <x:v>1</x:v>
      </x:c>
      <x:c r="B2" t="s">
        <x:v>78</x:v>
      </x:c>
      <x:c r="C2" t="s">
        <x:v>79</x:v>
      </x:c>
      <x:c r="D2" t="s">
        <x:v>80</x:v>
      </x:c>
      <x:c r="E2" t="s">
        <x:v>81</x:v>
      </x:c>
      <x:c r="F2" t="s">
        <x:v>82</x:v>
      </x:c>
      <x:c r="G2" t="s">
        <x:v>83</x:v>
      </x:c>
      <x:c r="H2" s="16" t="s">
        <x:v>84</x:v>
      </x:c>
    </x:row>
    <x:row r="3" ht="28.350000381469727" hidden="0">
      <x:c r="A3" t="s">
        <x:v>2</x:v>
      </x:c>
      <x:c r="B3" t="s">
        <x:v>85</x:v>
      </x:c>
      <x:c r="C3" t="s">
        <x:v>86</x:v>
      </x:c>
      <x:c r="D3" t="s">
        <x:v>87</x:v>
      </x:c>
      <x:c r="E3" t="s">
        <x:v>88</x:v>
      </x:c>
      <x:c r="G3" t="s">
        <x:v>89</x:v>
      </x:c>
      <x:c r="H3" s="16" t="s">
        <x:v>90</x:v>
      </x:c>
    </x:row>
    <x:row r="4" ht="28.350000381469727" hidden="0">
      <x:c r="A4" t="s">
        <x:v>3</x:v>
      </x:c>
      <x:c r="B4" t="s">
        <x:v>91</x:v>
      </x:c>
      <x:c r="C4" t="s">
        <x:v>92</x:v>
      </x:c>
      <x:c r="D4" t="s">
        <x:v>93</x:v>
      </x:c>
      <x:c r="G4" t="s">
        <x:v>94</x:v>
      </x:c>
      <x:c r="H4" s="16" t="s">
        <x:v>95</x:v>
      </x:c>
    </x:row>
    <x:row r="5" ht="28.350000381469727" hidden="0">
      <x:c r="A5" t="s">
        <x:v>4</x:v>
      </x:c>
      <x:c r="B5" t="s">
        <x:v>91</x:v>
      </x:c>
      <x:c r="D5" t="s">
        <x:v>96</x:v>
      </x:c>
      <x:c r="G5" t="s">
        <x:v>97</x:v>
      </x:c>
      <x:c r="H5" s="16" t="s">
        <x:v>98</x:v>
      </x:c>
    </x:row>
    <x:row r="6" ht="28.350000381469727" hidden="0">
      <x:c r="A6" t="s">
        <x:v>5</x:v>
      </x:c>
      <x:c r="B6" t="s">
        <x:v>99</x:v>
      </x:c>
      <x:c r="D6" t="s">
        <x:v>100</x:v>
      </x:c>
      <x:c r="H6" s="16" t="s">
        <x:v>101</x:v>
      </x:c>
    </x:row>
    <x:row r="7" ht="28.350000381469727" hidden="0">
      <x:c r="A7" t="s">
        <x:v>6</x:v>
      </x:c>
      <x:c r="B7" t="s">
        <x:v>102</x:v>
      </x:c>
      <x:c r="C7" t="s">
        <x:v>103</x:v>
      </x:c>
      <x:c r="D7" t="s">
        <x:v>104</x:v>
      </x:c>
      <x:c r="G7" t="s">
        <x:v>105</x:v>
      </x:c>
      <x:c r="H7" s="16" t="s">
        <x:v>106</x:v>
      </x:c>
    </x:row>
    <x:row r="8" ht="28.350000381469727" hidden="0">
      <x:c r="A8" t="s">
        <x:v>7</x:v>
      </x:c>
      <x:c r="B8" t="s">
        <x:v>107</x:v>
      </x:c>
      <x:c r="C8" t="s">
        <x:v>108</x:v>
      </x:c>
      <x:c r="D8" t="s">
        <x:v>109</x:v>
      </x:c>
      <x:c r="F8" t="s">
        <x:v>110</x:v>
      </x:c>
      <x:c r="G8" t="s">
        <x:v>111</x:v>
      </x:c>
      <x:c r="H8" s="16" t="s">
        <x:v>112</x:v>
      </x:c>
    </x:row>
    <x:row r="9" ht="28.350000381469727" hidden="0">
      <x:c r="A9" t="s">
        <x:v>8</x:v>
      </x:c>
      <x:c r="B9" t="s">
        <x:v>113</x:v>
      </x:c>
      <x:c r="C9" t="s">
        <x:v>22</x:v>
      </x:c>
      <x:c r="D9" t="s">
        <x:v>114</x:v>
      </x:c>
      <x:c r="H9" s="16" t="s">
        <x:v>115</x:v>
      </x:c>
    </x:row>
    <x:row r="10" ht="28.350000381469727" hidden="0">
      <x:c r="A10" t="s">
        <x:v>9</x:v>
      </x:c>
      <x:c r="B10" t="s">
        <x:v>113</x:v>
      </x:c>
      <x:c r="D10" t="s">
        <x:v>116</x:v>
      </x:c>
      <x:c r="H10" s="16" t="s">
        <x:v>90</x:v>
      </x:c>
    </x:row>
    <x:row r="11" ht="28.350000381469727" hidden="0">
      <x:c r="A11" t="s">
        <x:v>10</x:v>
      </x:c>
      <x:c r="B11" t="s">
        <x:v>117</x:v>
      </x:c>
      <x:c r="C11" t="s">
        <x:v>118</x:v>
      </x:c>
      <x:c r="D11" t="s">
        <x:v>119</x:v>
      </x:c>
      <x:c r="E11" t="s">
        <x:v>120</x:v>
      </x:c>
      <x:c r="G11" t="s">
        <x:v>121</x:v>
      </x:c>
      <x:c r="H11" s="16" t="s">
        <x:v>122</x:v>
      </x:c>
    </x:row>
    <x:row r="12" ht="28.350000381469727" hidden="0">
      <x:c r="A12" t="s">
        <x:v>11</x:v>
      </x:c>
      <x:c r="B12" t="s">
        <x:v>123</x:v>
      </x:c>
      <x:c r="C12" t="s">
        <x:v>124</x:v>
      </x:c>
      <x:c r="D12" t="s">
        <x:v>125</x:v>
      </x:c>
      <x:c r="E12" t="s">
        <x:v>126</x:v>
      </x:c>
      <x:c r="F12" t="s">
        <x:v>127</x:v>
      </x:c>
      <x:c r="G12" t="s">
        <x:v>128</x:v>
      </x:c>
      <x:c r="H12" s="16" t="s">
        <x:v>129</x:v>
      </x:c>
    </x:row>
    <x:row r="13" ht="28.350000381469727" hidden="0">
      <x:c r="A13" t="s">
        <x:v>12</x:v>
      </x:c>
      <x:c r="B13" t="s">
        <x:v>113</x:v>
      </x:c>
      <x:c r="C13" t="s">
        <x:v>130</x:v>
      </x:c>
      <x:c r="D13" t="s">
        <x:v>131</x:v>
      </x:c>
      <x:c r="H13" s="16" t="s">
        <x:v>132</x:v>
      </x:c>
    </x:row>
    <x:row r="14" ht="28.350000381469727" hidden="0">
      <x:c r="A14" t="s">
        <x:v>13</x:v>
      </x:c>
      <x:c r="B14" t="s">
        <x:v>133</x:v>
      </x:c>
      <x:c r="C14" t="s">
        <x:v>134</x:v>
      </x:c>
      <x:c r="D14" t="s">
        <x:v>135</x:v>
      </x:c>
      <x:c r="F14" t="s">
        <x:v>136</x:v>
      </x:c>
      <x:c r="G14" t="s">
        <x:v>137</x:v>
      </x:c>
      <x:c r="H14" s="16" t="s">
        <x:v>138</x:v>
      </x:c>
    </x:row>
    <x:row r="15" ht="28.350000381469727" hidden="0">
      <x:c r="A15" t="s">
        <x:v>14</x:v>
      </x:c>
      <x:c r="B15" t="s">
        <x:v>139</x:v>
      </x:c>
      <x:c r="C15" t="s">
        <x:v>140</x:v>
      </x:c>
      <x:c r="H15" s="16" t="s">
        <x:v>90</x:v>
      </x:c>
    </x:row>
    <x:row r="16" ht="28.350000381469727" hidden="0">
      <x:c r="A16" t="s">
        <x:v>15</x:v>
      </x:c>
      <x:c r="B16" t="s">
        <x:v>141</x:v>
      </x:c>
      <x:c r="C16" t="s">
        <x:v>142</x:v>
      </x:c>
      <x:c r="D16" t="s">
        <x:v>143</x:v>
      </x:c>
      <x:c r="G16" t="s">
        <x:v>144</x:v>
      </x:c>
      <x:c r="H16" s="16" t="s">
        <x:v>145</x:v>
      </x:c>
    </x:row>
    <x:row r="17" ht="28.350000381469727" hidden="0">
      <x:c r="A17" t="s">
        <x:v>16</x:v>
      </x:c>
      <x:c r="B17" t="s">
        <x:v>146</x:v>
      </x:c>
      <x:c r="C17" t="s">
        <x:v>147</x:v>
      </x:c>
      <x:c r="D17" t="s">
        <x:v>148</x:v>
      </x:c>
      <x:c r="E17" t="s">
        <x:v>149</x:v>
      </x:c>
      <x:c r="F17" t="s">
        <x:v>150</x:v>
      </x:c>
      <x:c r="G17" t="s">
        <x:v>151</x:v>
      </x:c>
      <x:c r="H17" s="16" t="s">
        <x:v>152</x:v>
      </x:c>
    </x:row>
    <x:row r="18" ht="28.350000381469727" hidden="0">
      <x:c r="A18" t="s">
        <x:v>17</x:v>
      </x:c>
      <x:c r="B18" t="s">
        <x:v>153</x:v>
      </x:c>
      <x:c r="C18" t="s">
        <x:v>154</x:v>
      </x:c>
      <x:c r="D18" t="s">
        <x:v>155</x:v>
      </x:c>
      <x:c r="H18" s="16" t="s">
        <x:v>156</x:v>
      </x:c>
    </x:row>
    <x:row r="19" ht="28.350000381469727" hidden="0">
      <x:c r="A19" t="s">
        <x:v>18</x:v>
      </x:c>
      <x:c r="B19" t="s">
        <x:v>157</x:v>
      </x:c>
      <x:c r="C19" t="s">
        <x:v>158</x:v>
      </x:c>
      <x:c r="D19" t="s">
        <x:v>159</x:v>
      </x:c>
      <x:c r="H19" s="16" t="s">
        <x:v>160</x:v>
      </x:c>
    </x:row>
    <x:row r="20" ht="28.350000381469727" hidden="0">
      <x:c r="A20" t="s">
        <x:v>19</x:v>
      </x:c>
      <x:c r="B20" t="s">
        <x:v>161</x:v>
      </x:c>
      <x:c r="C20" t="s">
        <x:v>162</x:v>
      </x:c>
      <x:c r="D20" t="s">
        <x:v>163</x:v>
      </x:c>
      <x:c r="H20" s="16" t="s">
        <x:v>164</x:v>
      </x:c>
    </x:row>
    <x:row r="21" ht="28.350000381469727" hidden="0">
      <x:c r="A21" t="s">
        <x:v>20</x:v>
      </x:c>
      <x:c r="B21" t="s">
        <x:v>165</x:v>
      </x:c>
      <x:c r="C21" t="s">
        <x:v>166</x:v>
      </x:c>
      <x:c r="D21" t="s">
        <x:v>167</x:v>
      </x:c>
      <x:c r="G21" t="s">
        <x:v>168</x:v>
      </x:c>
      <x:c r="H21" s="16" t="s">
        <x:v>169</x:v>
      </x:c>
    </x:row>
    <x:row r="22" ht="28.350000381469727" hidden="0">
      <x:c r="A22" t="s">
        <x:v>21</x:v>
      </x:c>
      <x:c r="B22" t="s">
        <x:v>170</x:v>
      </x:c>
      <x:c r="C22" t="s">
        <x:v>171</x:v>
      </x:c>
      <x:c r="D22" t="s">
        <x:v>172</x:v>
      </x:c>
      <x:c r="E22" t="s">
        <x:v>120</x:v>
      </x:c>
      <x:c r="F22" t="s">
        <x:v>173</x:v>
      </x:c>
      <x:c r="G22" t="s">
        <x:v>174</x:v>
      </x:c>
      <x:c r="H22" s="16" t="s">
        <x:v>175</x:v>
      </x:c>
    </x:row>
    <x:row r="23" ht="28.350000381469727" hidden="0">
      <x:c r="A23" t="s">
        <x:v>22</x:v>
      </x:c>
      <x:c r="B23" t="s">
        <x:v>176</x:v>
      </x:c>
      <x:c r="C23" t="s">
        <x:v>177</x:v>
      </x:c>
      <x:c r="D23" t="s">
        <x:v>178</x:v>
      </x:c>
      <x:c r="E23" t="s">
        <x:v>179</x:v>
      </x:c>
      <x:c r="G23" t="s">
        <x:v>180</x:v>
      </x:c>
      <x:c r="H23" s="16" t="s">
        <x:v>181</x:v>
      </x:c>
    </x:row>
    <x:row r="24" ht="28.350000381469727" hidden="0">
      <x:c r="A24" t="s">
        <x:v>23</x:v>
      </x:c>
      <x:c r="B24" t="s">
        <x:v>182</x:v>
      </x:c>
      <x:c r="C24" t="s">
        <x:v>183</x:v>
      </x:c>
      <x:c r="F24" t="s">
        <x:v>184</x:v>
      </x:c>
      <x:c r="H24" s="16" t="s">
        <x:v>185</x:v>
      </x:c>
    </x:row>
    <x:row r="25" ht="28.350000381469727" hidden="0">
      <x:c r="A25" t="s">
        <x:v>24</x:v>
      </x:c>
      <x:c r="B25" t="s">
        <x:v>186</x:v>
      </x:c>
      <x:c r="D25" t="s">
        <x:v>187</x:v>
      </x:c>
      <x:c r="G25" t="s">
        <x:v>188</x:v>
      </x:c>
      <x:c r="H25" s="16" t="s">
        <x:v>189</x:v>
      </x:c>
    </x:row>
    <x:row r="26" ht="28.350000381469727" hidden="0">
      <x:c r="A26" t="s">
        <x:v>25</x:v>
      </x:c>
      <x:c r="B26" t="s">
        <x:v>190</x:v>
      </x:c>
      <x:c r="C26" t="s">
        <x:v>191</x:v>
      </x:c>
      <x:c r="D26" t="s">
        <x:v>192</x:v>
      </x:c>
      <x:c r="H26" s="16" t="s">
        <x:v>193</x:v>
      </x:c>
    </x:row>
    <x:row r="27" ht="28.350000381469727" hidden="0">
      <x:c r="A27" t="s">
        <x:v>26</x:v>
      </x:c>
      <x:c r="B27" t="s">
        <x:v>194</x:v>
      </x:c>
      <x:c r="C27" t="s">
        <x:v>195</x:v>
      </x:c>
      <x:c r="D27" t="s">
        <x:v>196</x:v>
      </x:c>
      <x:c r="G27" t="s">
        <x:v>197</x:v>
      </x:c>
      <x:c r="H27" s="16" t="s">
        <x:v>169</x:v>
      </x:c>
    </x:row>
    <x:row r="28" ht="28.350000381469727" hidden="0">
      <x:c r="A28" t="s">
        <x:v>27</x:v>
      </x:c>
      <x:c r="B28" t="s">
        <x:v>198</x:v>
      </x:c>
      <x:c r="C28" t="s">
        <x:v>199</x:v>
      </x:c>
      <x:c r="E28" t="s">
        <x:v>200</x:v>
      </x:c>
      <x:c r="H28" s="16" t="s">
        <x:v>201</x:v>
      </x:c>
    </x:row>
    <x:row r="29" ht="28.350000381469727" hidden="0">
      <x:c r="A29" t="s">
        <x:v>28</x:v>
      </x:c>
      <x:c r="B29" t="s">
        <x:v>202</x:v>
      </x:c>
      <x:c r="C29" t="s">
        <x:v>203</x:v>
      </x:c>
      <x:c r="D29" t="s">
        <x:v>204</x:v>
      </x:c>
      <x:c r="F29" t="s">
        <x:v>173</x:v>
      </x:c>
      <x:c r="H29" s="16" t="s">
        <x:v>205</x:v>
      </x:c>
    </x:row>
    <x:row r="30" ht="28.350000381469727" hidden="0">
      <x:c r="A30" t="s">
        <x:v>29</x:v>
      </x:c>
      <x:c r="B30" t="s">
        <x:v>206</x:v>
      </x:c>
      <x:c r="C30" t="s">
        <x:v>25</x:v>
      </x:c>
      <x:c r="D30" t="s">
        <x:v>207</x:v>
      </x:c>
      <x:c r="G30" t="s">
        <x:v>208</x:v>
      </x:c>
      <x:c r="H30" s="16" t="s">
        <x:v>209</x:v>
      </x:c>
    </x:row>
    <x:row r="31" ht="28.350000381469727" hidden="0">
      <x:c r="A31" t="s">
        <x:v>30</x:v>
      </x:c>
      <x:c r="B31" t="s">
        <x:v>210</x:v>
      </x:c>
      <x:c r="C31" t="s">
        <x:v>211</x:v>
      </x:c>
      <x:c r="D31" t="s">
        <x:v>212</x:v>
      </x:c>
      <x:c r="F31" t="s">
        <x:v>213</x:v>
      </x:c>
      <x:c r="G31" t="s">
        <x:v>214</x:v>
      </x:c>
      <x:c r="H31" s="16" t="s">
        <x:v>215</x:v>
      </x:c>
    </x:row>
    <x:row r="32" ht="28.350000381469727" hidden="0">
      <x:c r="A32" t="s">
        <x:v>31</x:v>
      </x:c>
      <x:c r="B32" t="s">
        <x:v>216</x:v>
      </x:c>
      <x:c r="C32" t="s">
        <x:v>217</x:v>
      </x:c>
      <x:c r="D32" t="s">
        <x:v>218</x:v>
      </x:c>
      <x:c r="E32" t="s">
        <x:v>219</x:v>
      </x:c>
      <x:c r="G32" t="s">
        <x:v>220</x:v>
      </x:c>
      <x:c r="H32" s="16" t="s">
        <x:v>221</x:v>
      </x:c>
    </x:row>
    <x:row r="33" ht="28.350000381469727" hidden="0">
      <x:c r="A33" t="s">
        <x:v>32</x:v>
      </x:c>
      <x:c r="B33" t="s">
        <x:v>222</x:v>
      </x:c>
      <x:c r="C33" t="s">
        <x:v>223</x:v>
      </x:c>
      <x:c r="D33" t="s">
        <x:v>224</x:v>
      </x:c>
      <x:c r="F33" t="s">
        <x:v>225</x:v>
      </x:c>
      <x:c r="G33" t="s">
        <x:v>121</x:v>
      </x:c>
      <x:c r="H33" s="16" t="s">
        <x:v>226</x:v>
      </x:c>
    </x:row>
    <x:row r="34" ht="28.350000381469727" hidden="0">
      <x:c r="A34" t="s">
        <x:v>33</x:v>
      </x:c>
      <x:c r="B34" t="s">
        <x:v>227</x:v>
      </x:c>
      <x:c r="D34" t="s">
        <x:v>228</x:v>
      </x:c>
      <x:c r="H34" s="16" t="s">
        <x:v>229</x:v>
      </x:c>
    </x:row>
    <x:row r="35" ht="28.350000381469727" hidden="0">
      <x:c r="A35" t="s">
        <x:v>34</x:v>
      </x:c>
      <x:c r="B35" t="s">
        <x:v>230</x:v>
      </x:c>
      <x:c r="C35" t="s">
        <x:v>231</x:v>
      </x:c>
      <x:c r="D35" t="s">
        <x:v>232</x:v>
      </x:c>
      <x:c r="H35" s="16" t="s">
        <x:v>233</x:v>
      </x:c>
    </x:row>
    <x:row r="36" ht="28.350000381469727" hidden="0">
      <x:c r="A36" t="s">
        <x:v>35</x:v>
      </x:c>
      <x:c r="B36" t="s">
        <x:v>234</x:v>
      </x:c>
      <x:c r="C36" t="s">
        <x:v>235</x:v>
      </x:c>
      <x:c r="D36" t="s">
        <x:v>236</x:v>
      </x:c>
      <x:c r="E36" t="s">
        <x:v>237</x:v>
      </x:c>
      <x:c r="H36" s="16" t="s">
        <x:v>238</x:v>
      </x:c>
    </x:row>
    <x:row r="37" ht="28.350000381469727" hidden="0">
      <x:c r="A37" t="s">
        <x:v>36</x:v>
      </x:c>
      <x:c r="B37" t="s">
        <x:v>239</x:v>
      </x:c>
      <x:c r="C37" t="s">
        <x:v>25</x:v>
      </x:c>
      <x:c r="D37" t="s">
        <x:v>25</x:v>
      </x:c>
      <x:c r="H37" s="16" t="s">
        <x:v>193</x:v>
      </x:c>
    </x:row>
    <x:row r="38" ht="28.350000381469727" hidden="0">
      <x:c r="A38" t="s">
        <x:v>37</x:v>
      </x:c>
      <x:c r="B38" t="s">
        <x:v>240</x:v>
      </x:c>
      <x:c r="C38" t="s">
        <x:v>241</x:v>
      </x:c>
      <x:c r="D38" t="s">
        <x:v>242</x:v>
      </x:c>
      <x:c r="F38" t="s">
        <x:v>243</x:v>
      </x:c>
      <x:c r="G38" t="s">
        <x:v>244</x:v>
      </x:c>
      <x:c r="H38" s="16" t="s">
        <x:v>245</x:v>
      </x:c>
    </x:row>
    <x:row r="39" ht="28.350000381469727" hidden="0">
      <x:c r="A39" t="s">
        <x:v>38</x:v>
      </x:c>
      <x:c r="B39" t="s">
        <x:v>246</x:v>
      </x:c>
      <x:c r="C39" t="s">
        <x:v>247</x:v>
      </x:c>
      <x:c r="D39" t="s">
        <x:v>248</x:v>
      </x:c>
      <x:c r="G39" t="s">
        <x:v>249</x:v>
      </x:c>
      <x:c r="H39" s="16" t="s">
        <x:v>250</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25" hidden="0" customWidth="1"/>
    <x:col min="2" max="2" width="55" hidden="0" customWidth="1"/>
  </x:cols>
  <x:sheetData>
    <x:row r="1" ht="15" hidden="0">
      <x:c r="A1" s="15" t="s">
        <x:v>251</x:v>
      </x:c>
      <x:c r="B1" s="15" t="s">
        <x:v>252</x:v>
      </x:c>
    </x:row>
    <x:row r="2" ht="15" hidden="0">
      <x:c r="A2" t="s">
        <x:v>1</x:v>
      </x:c>
      <x:c r="B2" t="s">
        <x:v>253</x:v>
      </x:c>
    </x:row>
    <x:row r="3" ht="15" hidden="0">
      <x:c r="A3" t="s">
        <x:v>50</x:v>
      </x:c>
      <x:c r="B3" t="s">
        <x:v>254</x:v>
      </x:c>
    </x:row>
    <x:row r="4" ht="15" hidden="0">
      <x:c r="A4" t="s">
        <x:v>2</x:v>
      </x:c>
      <x:c r="B4" t="s">
        <x:v>255</x:v>
      </x:c>
    </x:row>
    <x:row r="5" ht="15" hidden="0">
      <x:c r="A5" t="s">
        <x:v>39</x:v>
      </x:c>
      <x:c r="B5" t="s">
        <x:v>256</x:v>
      </x:c>
    </x:row>
    <x:row r="6" ht="15" hidden="0">
      <x:c r="A6" t="s">
        <x:v>14</x:v>
      </x:c>
      <x:c r="B6" t="s">
        <x:v>257</x:v>
      </x:c>
    </x:row>
    <x:row r="7" ht="15" hidden="0">
      <x:c r="A7" t="s">
        <x:v>14</x:v>
      </x:c>
      <x:c r="B7" t="s">
        <x:v>258</x:v>
      </x:c>
    </x:row>
    <x:row r="8" ht="15" hidden="0">
      <x:c r="A8" t="s">
        <x:v>14</x:v>
      </x:c>
      <x:c r="B8" t="s">
        <x:v>259</x:v>
      </x:c>
    </x:row>
    <x:row r="9" ht="15" hidden="0">
      <x:c r="A9" t="s">
        <x:v>40</x:v>
      </x:c>
      <x:c r="B9" t="s">
        <x:v>260</x:v>
      </x:c>
    </x:row>
    <x:row r="10" ht="15" hidden="0">
      <x:c r="A10" t="s">
        <x:v>41</x:v>
      </x:c>
      <x:c r="B10" t="s">
        <x:v>260</x:v>
      </x:c>
    </x:row>
    <x:row r="11" ht="15" hidden="0">
      <x:c r="A11" t="s">
        <x:v>11</x:v>
      </x:c>
      <x:c r="B11" t="s">
        <x:v>261</x:v>
      </x:c>
    </x:row>
    <x:row r="12" ht="15" hidden="0">
      <x:c r="A12" t="s">
        <x:v>10</x:v>
      </x:c>
      <x:c r="B12" t="s">
        <x:v>262</x:v>
      </x:c>
    </x:row>
    <x:row r="13" ht="15" hidden="0">
      <x:c r="A13" t="s">
        <x:v>19</x:v>
      </x:c>
      <x:c r="B13" t="s">
        <x:v>263</x:v>
      </x:c>
    </x:row>
    <x:row r="14" ht="15" hidden="0">
      <x:c r="A14" t="s">
        <x:v>21</x:v>
      </x:c>
      <x:c r="B14" t="s">
        <x:v>264</x:v>
      </x:c>
    </x:row>
    <x:row r="15" ht="15" hidden="0">
      <x:c r="A15" t="s">
        <x:v>16</x:v>
      </x:c>
      <x:c r="B15" t="s">
        <x:v>265</x:v>
      </x:c>
    </x:row>
    <x:row r="16" ht="15" hidden="0">
      <x:c r="A16" t="s">
        <x:v>42</x:v>
      </x:c>
      <x:c r="B16" t="s">
        <x:v>266</x:v>
      </x:c>
    </x:row>
    <x:row r="17" ht="15" hidden="0">
      <x:c r="A17" t="s">
        <x:v>26</x:v>
      </x:c>
      <x:c r="B17" t="s">
        <x:v>267</x:v>
      </x:c>
    </x:row>
    <x:row r="18" ht="15" hidden="0">
      <x:c r="A18" t="s">
        <x:v>26</x:v>
      </x:c>
      <x:c r="B18" t="s">
        <x:v>267</x:v>
      </x:c>
    </x:row>
    <x:row r="19" ht="15" hidden="0">
      <x:c r="A19" t="s">
        <x:v>43</x:v>
      </x:c>
      <x:c r="B19" t="s">
        <x:v>268</x:v>
      </x:c>
    </x:row>
    <x:row r="20" ht="15" hidden="0">
      <x:c r="A20" t="s">
        <x:v>3</x:v>
      </x:c>
      <x:c r="B20" t="s">
        <x:v>269</x:v>
      </x:c>
    </x:row>
    <x:row r="21" ht="15" hidden="0">
      <x:c r="A21" t="s">
        <x:v>5</x:v>
      </x:c>
      <x:c r="B21" t="s">
        <x:v>270</x:v>
      </x:c>
    </x:row>
    <x:row r="22" ht="15" hidden="0">
      <x:c r="A22" t="s">
        <x:v>44</x:v>
      </x:c>
      <x:c r="B22" t="s">
        <x:v>271</x:v>
      </x:c>
    </x:row>
    <x:row r="23" ht="15" hidden="0">
      <x:c r="A23" t="s">
        <x:v>45</x:v>
      </x:c>
      <x:c r="B23" t="s">
        <x:v>272</x:v>
      </x:c>
    </x:row>
    <x:row r="24" ht="15" hidden="0">
      <x:c r="A24" t="s">
        <x:v>22</x:v>
      </x:c>
      <x:c r="B24" t="s">
        <x:v>273</x:v>
      </x:c>
    </x:row>
    <x:row r="25" ht="15" hidden="0">
      <x:c r="A25" t="s">
        <x:v>22</x:v>
      </x:c>
      <x:c r="B25" t="s">
        <x:v>274</x:v>
      </x:c>
    </x:row>
    <x:row r="26" ht="15" hidden="0">
      <x:c r="A26" t="s">
        <x:v>15</x:v>
      </x:c>
      <x:c r="B26" t="s">
        <x:v>275</x:v>
      </x:c>
    </x:row>
    <x:row r="27" ht="15" hidden="0">
      <x:c r="A27" t="s">
        <x:v>18</x:v>
      </x:c>
      <x:c r="B27" t="s">
        <x:v>276</x:v>
      </x:c>
    </x:row>
    <x:row r="28" ht="15" hidden="0">
      <x:c r="A28" t="s">
        <x:v>46</x:v>
      </x:c>
      <x:c r="B28" t="s">
        <x:v>277</x:v>
      </x:c>
    </x:row>
    <x:row r="29" ht="15" hidden="0">
      <x:c r="A29" t="s">
        <x:v>25</x:v>
      </x:c>
      <x:c r="B29" t="s">
        <x:v>278</x:v>
      </x:c>
    </x:row>
    <x:row r="30" ht="15" hidden="0">
      <x:c r="A30" t="s">
        <x:v>30</x:v>
      </x:c>
      <x:c r="B30" t="s">
        <x:v>279</x:v>
      </x:c>
    </x:row>
    <x:row r="31" ht="15" hidden="0">
      <x:c r="A31" t="s">
        <x:v>29</x:v>
      </x:c>
      <x:c r="B31" t="s">
        <x:v>277</x:v>
      </x:c>
    </x:row>
    <x:row r="32" ht="15" hidden="0">
      <x:c r="A32" t="s">
        <x:v>28</x:v>
      </x:c>
      <x:c r="B32" t="s">
        <x:v>264</x:v>
      </x:c>
    </x:row>
    <x:row r="33" ht="15" hidden="0">
      <x:c r="A33" t="s">
        <x:v>37</x:v>
      </x:c>
      <x:c r="B33" t="s">
        <x:v>280</x:v>
      </x:c>
    </x:row>
    <x:row r="34" ht="15" hidden="0">
      <x:c r="A34" t="s">
        <x:v>20</x:v>
      </x:c>
      <x:c r="B34" t="s">
        <x:v>281</x:v>
      </x:c>
    </x:row>
    <x:row r="35" ht="15" hidden="0">
      <x:c r="A35" t="s">
        <x:v>47</x:v>
      </x:c>
      <x:c r="B35" t="s">
        <x:v>282</x:v>
      </x:c>
    </x:row>
    <x:row r="36" ht="15" hidden="0">
      <x:c r="A36" t="s">
        <x:v>32</x:v>
      </x:c>
      <x:c r="B36" t="s">
        <x:v>283</x:v>
      </x:c>
    </x:row>
    <x:row r="37" ht="15" hidden="0">
      <x:c r="A37" t="s">
        <x:v>48</x:v>
      </x:c>
      <x:c r="B37" t="s">
        <x:v>284</x:v>
      </x:c>
    </x:row>
    <x:row r="38" ht="15" hidden="0">
      <x:c r="A38" t="s">
        <x:v>1</x:v>
      </x:c>
      <x:c r="B38" t="s">
        <x:v>267</x:v>
      </x:c>
    </x:row>
    <x:row r="39" ht="15" hidden="0">
      <x:c r="A39" t="s">
        <x:v>13</x:v>
      </x:c>
      <x:c r="B39" t="s">
        <x:v>285</x:v>
      </x:c>
    </x:row>
    <x:row r="40" ht="15" hidden="0">
      <x:c r="A40" t="s">
        <x:v>34</x:v>
      </x:c>
      <x:c r="B40" t="s">
        <x:v>286</x:v>
      </x:c>
    </x:row>
    <x:row r="41" ht="15" hidden="0">
      <x:c r="A41" t="s">
        <x:v>49</x:v>
      </x:c>
      <x:c r="B41" t="s">
        <x:v>287</x:v>
      </x:c>
    </x:row>
    <x:row r="42" ht="15" hidden="0">
      <x:c r="A42" t="s">
        <x:v>31</x:v>
      </x:c>
      <x:c r="B42" t="s">
        <x:v>288</x:v>
      </x:c>
    </x:row>
    <x:row r="43" ht="15" hidden="0">
      <x:c r="A43" t="s">
        <x:v>35</x:v>
      </x:c>
      <x:c r="B43" t="s">
        <x:v>289</x:v>
      </x:c>
    </x:row>
    <x:row r="45" ht="15" hidden="0">
      <x:c r="A45" t="s">
        <x:v>290</x:v>
      </x:c>
      <x:c r="B45" t="s">
        <x:v>291</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22" hidden="0" customWidth="1"/>
    <x:col min="2" max="2" width="20" hidden="0" customWidth="1"/>
    <x:col min="3" max="3" width="10" hidden="0" customWidth="1"/>
    <x:col min="4" max="4" width="22" hidden="0" customWidth="1"/>
    <x:col min="5" max="5" width="24" hidden="0" customWidth="1"/>
    <x:col min="6" max="6" width="10" hidden="0" customWidth="1"/>
    <x:col min="7" max="7" width="12" hidden="0" customWidth="1"/>
    <x:col min="8" max="9" width="10" hidden="0" customWidth="1"/>
    <x:col min="10" max="10" width="14" hidden="0" customWidth="1"/>
    <x:col min="11" max="14" width="10" hidden="0" customWidth="1"/>
    <x:col min="15" max="15" width="45" hidden="0" customWidth="1"/>
  </x:cols>
  <x:sheetData>
    <x:row r="1" ht="39.75" hidden="0" customHeight="1">
      <x:c r="A1" s="17" t="s">
        <x:v>292</x:v>
      </x:c>
      <x:c r="B1" s="17" t="s">
        <x:v>251</x:v>
      </x:c>
      <x:c r="C1" s="17" t="s">
        <x:v>293</x:v>
      </x:c>
      <x:c r="D1" s="17" t="s">
        <x:v>294</x:v>
      </x:c>
      <x:c r="E1" s="17" t="s">
        <x:v>295</x:v>
      </x:c>
      <x:c r="F1" s="17" t="s">
        <x:v>296</x:v>
      </x:c>
      <x:c r="G1" s="17" t="s">
        <x:v>297</x:v>
      </x:c>
      <x:c r="H1" s="17" t="s">
        <x:v>298</x:v>
      </x:c>
      <x:c r="I1" s="17" t="s">
        <x:v>299</x:v>
      </x:c>
      <x:c r="J1" s="17" t="s">
        <x:v>300</x:v>
      </x:c>
      <x:c r="K1" s="17" t="s">
        <x:v>301</x:v>
      </x:c>
      <x:c r="L1" s="17" t="s">
        <x:v>302</x:v>
      </x:c>
      <x:c r="M1" s="17" t="s">
        <x:v>303</x:v>
      </x:c>
      <x:c r="N1" s="17" t="s">
        <x:v>304</x:v>
      </x:c>
      <x:c r="O1" s="17" t="s">
        <x:v>305</x:v>
      </x:c>
    </x:row>
    <x:row r="2" ht="28.350000381469727" hidden="0">
      <x:c r="A2" s="18" t="s">
        <x:v>306</x:v>
      </x:c>
      <x:c r="B2" s="18" t="s">
        <x:v>1</x:v>
      </x:c>
      <x:c r="C2" s="18" t="s">
        <x:v>307</x:v>
      </x:c>
      <x:c r="D2" s="18" t="s">
        <x:v>308</x:v>
      </x:c>
      <x:c r="E2" s="18" t="s">
        <x:v>309</x:v>
      </x:c>
      <x:c r="F2" s="19" t="n">
        <x:v>4</x:v>
      </x:c>
      <x:c r="G2" s="19" t="s">
        <x:v>310</x:v>
      </x:c>
      <x:c r="H2" s="19" t="n">
        <x:v>30</x:v>
      </x:c>
      <x:c r="I2" s="19" t="n">
        <x:v>15</x:v>
      </x:c>
      <x:c r="J2" s="18" t="s">
        <x:v>311</x:v>
      </x:c>
      <x:c r="K2" s="19"/>
      <x:c r="L2" s="19"/>
      <x:c r="M2" s="19"/>
      <x:c r="N2" s="19" t="s">
        <x:v>310</x:v>
      </x:c>
      <x:c r="O2" s="18" t="s">
        <x:v>312</x:v>
      </x:c>
    </x:row>
    <x:row r="3" ht="28.350000381469727" hidden="0">
      <x:c r="A3" s="18" t="s">
        <x:v>313</x:v>
      </x:c>
      <x:c r="B3" s="18" t="s">
        <x:v>50</x:v>
      </x:c>
      <x:c r="C3" s="18" t="s">
        <x:v>314</x:v>
      </x:c>
      <x:c r="D3" s="18" t="s">
        <x:v>315</x:v>
      </x:c>
      <x:c r="E3" s="18" t="s">
        <x:v>316</x:v>
      </x:c>
      <x:c r="F3" s="19" t="n">
        <x:v>4</x:v>
      </x:c>
      <x:c r="G3" s="19" t="s">
        <x:v>317</x:v>
      </x:c>
      <x:c r="H3" s="19" t="n">
        <x:v>200</x:v>
      </x:c>
      <x:c r="I3" s="19" t="n">
        <x:v>100</x:v>
      </x:c>
      <x:c r="J3" s="18" t="s">
        <x:v>318</x:v>
      </x:c>
      <x:c r="K3" s="19" t="s">
        <x:v>319</x:v>
      </x:c>
      <x:c r="L3" s="19" t="s">
        <x:v>319</x:v>
      </x:c>
      <x:c r="M3" s="19"/>
      <x:c r="N3" s="19" t="s">
        <x:v>310</x:v>
      </x:c>
      <x:c r="O3" s="18" t="s">
        <x:v>320</x:v>
      </x:c>
    </x:row>
    <x:row r="4" ht="15" hidden="0">
      <x:c r="A4" s="18" t="s">
        <x:v>321</x:v>
      </x:c>
      <x:c r="B4" s="18" t="s">
        <x:v>2</x:v>
      </x:c>
      <x:c r="C4" s="18" t="s">
        <x:v>307</x:v>
      </x:c>
      <x:c r="D4" s="18" t="s">
        <x:v>322</x:v>
      </x:c>
      <x:c r="E4" s="18" t="s">
        <x:v>323</x:v>
      </x:c>
      <x:c r="F4" s="19" t="n">
        <x:v>7</x:v>
      </x:c>
      <x:c r="G4" s="19" t="s">
        <x:v>310</x:v>
      </x:c>
      <x:c r="H4" s="19" t="n">
        <x:v>100</x:v>
      </x:c>
      <x:c r="I4" s="19" t="n">
        <x:v>30</x:v>
      </x:c>
      <x:c r="J4" s="18" t="s">
        <x:v>318</x:v>
      </x:c>
      <x:c r="K4" s="19" t="s">
        <x:v>319</x:v>
      </x:c>
      <x:c r="L4" s="19"/>
      <x:c r="M4" s="19"/>
      <x:c r="N4" s="19"/>
      <x:c r="O4" s="18" t="s">
        <x:v>324</x:v>
      </x:c>
    </x:row>
    <x:row r="5" ht="15" hidden="0">
      <x:c r="A5" s="18" t="s">
        <x:v>325</x:v>
      </x:c>
      <x:c r="B5" s="18" t="s">
        <x:v>39</x:v>
      </x:c>
      <x:c r="C5" s="18" t="s">
        <x:v>326</x:v>
      </x:c>
      <x:c r="D5" s="18" t="s">
        <x:v>327</x:v>
      </x:c>
      <x:c r="E5" s="18" t="s">
        <x:v>328</x:v>
      </x:c>
      <x:c r="F5" s="19" t="n">
        <x:v>2</x:v>
      </x:c>
      <x:c r="G5" s="19" t="s">
        <x:v>310</x:v>
      </x:c>
      <x:c r="H5" s="19" t="n">
        <x:v>30</x:v>
      </x:c>
      <x:c r="I5" s="19" t="n">
        <x:v>20</x:v>
      </x:c>
      <x:c r="J5" s="18" t="s">
        <x:v>311</x:v>
      </x:c>
      <x:c r="K5" s="19"/>
      <x:c r="L5" s="19"/>
      <x:c r="M5" s="19" t="s">
        <x:v>319</x:v>
      </x:c>
      <x:c r="N5" s="19"/>
      <x:c r="O5" s="18" t="s">
        <x:v>329</x:v>
      </x:c>
    </x:row>
    <x:row r="6" ht="15" hidden="0">
      <x:c r="A6" s="18" t="s">
        <x:v>330</x:v>
      </x:c>
      <x:c r="B6" s="18" t="s">
        <x:v>14</x:v>
      </x:c>
      <x:c r="C6" s="18" t="s">
        <x:v>331</x:v>
      </x:c>
      <x:c r="D6" s="18" t="s">
        <x:v>332</x:v>
      </x:c>
      <x:c r="E6" s="18" t="s">
        <x:v>333</x:v>
      </x:c>
      <x:c r="F6" s="19" t="n">
        <x:v>3</x:v>
      </x:c>
      <x:c r="G6" s="19" t="s">
        <x:v>310</x:v>
      </x:c>
      <x:c r="H6" s="19" t="n">
        <x:v>30</x:v>
      </x:c>
      <x:c r="I6" s="19" t="n">
        <x:v>25</x:v>
      </x:c>
      <x:c r="J6" s="18" t="s">
        <x:v>311</x:v>
      </x:c>
      <x:c r="K6" s="19"/>
      <x:c r="L6" s="19"/>
      <x:c r="M6" s="19"/>
      <x:c r="N6" s="19"/>
      <x:c r="O6" s="18" t="s">
        <x:v>334</x:v>
      </x:c>
    </x:row>
    <x:row r="7" ht="15" hidden="0">
      <x:c r="A7" s="18" t="s">
        <x:v>335</x:v>
      </x:c>
      <x:c r="B7" s="18" t="s">
        <x:v>14</x:v>
      </x:c>
      <x:c r="C7" s="18" t="s">
        <x:v>331</x:v>
      </x:c>
      <x:c r="D7" s="18" t="s">
        <x:v>332</x:v>
      </x:c>
      <x:c r="E7" s="18" t="s">
        <x:v>333</x:v>
      </x:c>
      <x:c r="F7" s="19" t="n">
        <x:v>3</x:v>
      </x:c>
      <x:c r="G7" s="19" t="s">
        <x:v>310</x:v>
      </x:c>
      <x:c r="H7" s="19" t="n">
        <x:v>30</x:v>
      </x:c>
      <x:c r="I7" s="19" t="n">
        <x:v>10</x:v>
      </x:c>
      <x:c r="J7" s="18" t="s">
        <x:v>311</x:v>
      </x:c>
      <x:c r="K7" s="19"/>
      <x:c r="L7" s="19" t="s">
        <x:v>319</x:v>
      </x:c>
      <x:c r="M7" s="19"/>
      <x:c r="N7" s="19"/>
      <x:c r="O7" s="18" t="s">
        <x:v>334</x:v>
      </x:c>
    </x:row>
    <x:row r="8" ht="28.350000381469727" hidden="0">
      <x:c r="A8" s="18" t="s">
        <x:v>336</x:v>
      </x:c>
      <x:c r="B8" s="18" t="s">
        <x:v>14</x:v>
      </x:c>
      <x:c r="C8" s="18" t="s">
        <x:v>331</x:v>
      </x:c>
      <x:c r="D8" s="18" t="s">
        <x:v>332</x:v>
      </x:c>
      <x:c r="E8" s="18" t="s">
        <x:v>333</x:v>
      </x:c>
      <x:c r="F8" s="19" t="n">
        <x:v>3</x:v>
      </x:c>
      <x:c r="G8" s="19" t="s">
        <x:v>310</x:v>
      </x:c>
      <x:c r="H8" s="19" t="n">
        <x:v>30</x:v>
      </x:c>
      <x:c r="I8" s="19" t="n">
        <x:v>20</x:v>
      </x:c>
      <x:c r="J8" s="18" t="s">
        <x:v>311</x:v>
      </x:c>
      <x:c r="K8" s="19"/>
      <x:c r="L8" s="19"/>
      <x:c r="M8" s="19" t="s">
        <x:v>319</x:v>
      </x:c>
      <x:c r="N8" s="19"/>
      <x:c r="O8" s="18" t="s">
        <x:v>337</x:v>
      </x:c>
    </x:row>
    <x:row r="9" ht="28.350000381469727" hidden="0">
      <x:c r="A9" s="18" t="s">
        <x:v>338</x:v>
      </x:c>
      <x:c r="B9" s="18" t="s">
        <x:v>40</x:v>
      </x:c>
      <x:c r="C9" s="18" t="s">
        <x:v>339</x:v>
      </x:c>
      <x:c r="D9" s="18" t="s">
        <x:v>340</x:v>
      </x:c>
      <x:c r="E9" s="18" t="s">
        <x:v>341</x:v>
      </x:c>
      <x:c r="F9" s="19" t="n">
        <x:v>5</x:v>
      </x:c>
      <x:c r="G9" s="19" t="s">
        <x:v>317</x:v>
      </x:c>
      <x:c r="H9" s="19" t="n">
        <x:v>100</x:v>
      </x:c>
      <x:c r="I9" s="19" t="n">
        <x:v>100</x:v>
      </x:c>
      <x:c r="J9" s="18" t="s">
        <x:v>318</x:v>
      </x:c>
      <x:c r="K9" s="19" t="s">
        <x:v>319</x:v>
      </x:c>
      <x:c r="L9" s="19"/>
      <x:c r="M9" s="19"/>
      <x:c r="N9" s="19"/>
      <x:c r="O9" s="18" t="s">
        <x:v>342</x:v>
      </x:c>
    </x:row>
    <x:row r="10" ht="28.350000381469727" hidden="0">
      <x:c r="A10" s="18" t="s">
        <x:v>343</x:v>
      </x:c>
      <x:c r="B10" s="18" t="s">
        <x:v>41</x:v>
      </x:c>
      <x:c r="C10" s="18" t="s">
        <x:v>339</x:v>
      </x:c>
      <x:c r="D10" s="18" t="s">
        <x:v>340</x:v>
      </x:c>
      <x:c r="E10" s="18" t="s">
        <x:v>341</x:v>
      </x:c>
      <x:c r="F10" s="19" t="n">
        <x:v>4</x:v>
      </x:c>
      <x:c r="G10" s="19" t="s">
        <x:v>317</x:v>
      </x:c>
      <x:c r="H10" s="19" t="n">
        <x:v>100</x:v>
      </x:c>
      <x:c r="I10" s="19" t="n">
        <x:v>100</x:v>
      </x:c>
      <x:c r="J10" s="18" t="s">
        <x:v>318</x:v>
      </x:c>
      <x:c r="K10" s="19" t="s">
        <x:v>319</x:v>
      </x:c>
      <x:c r="L10" s="19"/>
      <x:c r="M10" s="19"/>
      <x:c r="N10" s="19"/>
      <x:c r="O10" s="18" t="s">
        <x:v>344</x:v>
      </x:c>
    </x:row>
    <x:row r="11" ht="15" hidden="0">
      <x:c r="A11" s="18" t="s">
        <x:v>345</x:v>
      </x:c>
      <x:c r="B11" s="18" t="s">
        <x:v>11</x:v>
      </x:c>
      <x:c r="C11" s="18" t="s">
        <x:v>346</x:v>
      </x:c>
      <x:c r="D11" s="18" t="s">
        <x:v>347</x:v>
      </x:c>
      <x:c r="E11" s="18" t="s">
        <x:v>348</x:v>
      </x:c>
      <x:c r="F11" s="19" t="n">
        <x:v>3</x:v>
      </x:c>
      <x:c r="G11" s="19" t="s">
        <x:v>310</x:v>
      </x:c>
      <x:c r="H11" s="19" t="n">
        <x:v>25</x:v>
      </x:c>
      <x:c r="I11" s="19" t="n">
        <x:v>5</x:v>
      </x:c>
      <x:c r="J11" s="18" t="s">
        <x:v>311</x:v>
      </x:c>
      <x:c r="K11" s="19"/>
      <x:c r="L11" s="19"/>
      <x:c r="M11" s="19" t="s">
        <x:v>319</x:v>
      </x:c>
      <x:c r="N11" s="19"/>
      <x:c r="O11" s="18" t="s">
        <x:v>349</x:v>
      </x:c>
    </x:row>
    <x:row r="12" ht="15" hidden="0">
      <x:c r="A12" s="18" t="s">
        <x:v>350</x:v>
      </x:c>
      <x:c r="B12" s="18" t="s">
        <x:v>10</x:v>
      </x:c>
      <x:c r="C12" s="18" t="s">
        <x:v>351</x:v>
      </x:c>
      <x:c r="D12" s="18" t="s">
        <x:v>352</x:v>
      </x:c>
      <x:c r="E12" s="18" t="s">
        <x:v>353</x:v>
      </x:c>
      <x:c r="F12" s="19" t="n">
        <x:v>2</x:v>
      </x:c>
      <x:c r="G12" s="19" t="s">
        <x:v>310</x:v>
      </x:c>
      <x:c r="H12" s="19" t="n">
        <x:v>50</x:v>
      </x:c>
      <x:c r="I12" s="19" t="n">
        <x:v>40</x:v>
      </x:c>
      <x:c r="J12" s="18" t="s">
        <x:v>318</x:v>
      </x:c>
      <x:c r="K12" s="19" t="s">
        <x:v>319</x:v>
      </x:c>
      <x:c r="L12" s="19" t="s">
        <x:v>319</x:v>
      </x:c>
      <x:c r="M12" s="19"/>
      <x:c r="N12" s="19" t="s">
        <x:v>310</x:v>
      </x:c>
      <x:c r="O12" s="18" t="s">
        <x:v>354</x:v>
      </x:c>
    </x:row>
    <x:row r="13" ht="15" hidden="0">
      <x:c r="A13" s="18" t="s">
        <x:v>355</x:v>
      </x:c>
      <x:c r="B13" s="18" t="s">
        <x:v>19</x:v>
      </x:c>
      <x:c r="C13" s="18" t="s">
        <x:v>351</x:v>
      </x:c>
      <x:c r="D13" s="18" t="s">
        <x:v>352</x:v>
      </x:c>
      <x:c r="E13" s="18" t="s">
        <x:v>356</x:v>
      </x:c>
      <x:c r="F13" s="19" t="n">
        <x:v>2</x:v>
      </x:c>
      <x:c r="G13" s="19" t="s">
        <x:v>310</x:v>
      </x:c>
      <x:c r="H13" s="19" t="n">
        <x:v>40</x:v>
      </x:c>
      <x:c r="I13" s="19" t="n">
        <x:v>20</x:v>
      </x:c>
      <x:c r="J13" s="18" t="s">
        <x:v>311</x:v>
      </x:c>
      <x:c r="K13" s="19"/>
      <x:c r="L13" s="19" t="s">
        <x:v>319</x:v>
      </x:c>
      <x:c r="M13" s="19"/>
      <x:c r="N13" s="19" t="s">
        <x:v>310</x:v>
      </x:c>
      <x:c r="O13" s="18" t="s">
        <x:v>354</x:v>
      </x:c>
    </x:row>
    <x:row r="14" ht="15" hidden="0">
      <x:c r="A14" s="18" t="s">
        <x:v>357</x:v>
      </x:c>
      <x:c r="B14" s="18" t="s">
        <x:v>21</x:v>
      </x:c>
      <x:c r="C14" s="18" t="s">
        <x:v>358</x:v>
      </x:c>
      <x:c r="D14" s="18" t="s">
        <x:v>359</x:v>
      </x:c>
      <x:c r="E14" s="18"/>
      <x:c r="F14" s="19" t="n">
        <x:v>2</x:v>
      </x:c>
      <x:c r="G14" s="19" t="s">
        <x:v>317</x:v>
      </x:c>
      <x:c r="H14" s="19" t="n">
        <x:v>50</x:v>
      </x:c>
      <x:c r="I14" s="19" t="n">
        <x:v>10</x:v>
      </x:c>
      <x:c r="J14" s="18" t="s">
        <x:v>360</x:v>
      </x:c>
      <x:c r="K14" s="19"/>
      <x:c r="L14" s="19"/>
      <x:c r="M14" s="19"/>
      <x:c r="N14" s="19" t="s">
        <x:v>310</x:v>
      </x:c>
      <x:c r="O14" s="18" t="s">
        <x:v>361</x:v>
      </x:c>
    </x:row>
    <x:row r="15" ht="15" hidden="0">
      <x:c r="A15" s="18" t="s">
        <x:v>362</x:v>
      </x:c>
      <x:c r="B15" s="18" t="s">
        <x:v>16</x:v>
      </x:c>
      <x:c r="C15" s="18" t="s">
        <x:v>314</x:v>
      </x:c>
      <x:c r="D15" s="18" t="s">
        <x:v>315</x:v>
      </x:c>
      <x:c r="E15" s="18" t="s">
        <x:v>363</x:v>
      </x:c>
      <x:c r="F15" s="19" t="n">
        <x:v>3</x:v>
      </x:c>
      <x:c r="G15" s="19"/>
      <x:c r="H15" s="19" t="n">
        <x:v>100</x:v>
      </x:c>
      <x:c r="I15" s="19" t="n">
        <x:v>40</x:v>
      </x:c>
      <x:c r="J15" s="18" t="s">
        <x:v>318</x:v>
      </x:c>
      <x:c r="K15" s="19" t="s">
        <x:v>319</x:v>
      </x:c>
      <x:c r="L15" s="19" t="s">
        <x:v>319</x:v>
      </x:c>
      <x:c r="M15" s="19"/>
      <x:c r="N15" s="19"/>
      <x:c r="O15" s="18" t="s">
        <x:v>354</x:v>
      </x:c>
    </x:row>
    <x:row r="16" ht="15" hidden="0">
      <x:c r="A16" s="18" t="s">
        <x:v>364</x:v>
      </x:c>
      <x:c r="B16" s="18" t="s">
        <x:v>42</x:v>
      </x:c>
      <x:c r="C16" s="18" t="s">
        <x:v>339</x:v>
      </x:c>
      <x:c r="D16" s="18" t="s">
        <x:v>262</x:v>
      </x:c>
      <x:c r="E16" s="18" t="s">
        <x:v>365</x:v>
      </x:c>
      <x:c r="F16" s="19" t="n">
        <x:v>3</x:v>
      </x:c>
      <x:c r="G16" s="19" t="s">
        <x:v>310</x:v>
      </x:c>
      <x:c r="H16" s="19" t="n">
        <x:v>40</x:v>
      </x:c>
      <x:c r="I16" s="19" t="n">
        <x:v>30</x:v>
      </x:c>
      <x:c r="J16" s="18" t="s">
        <x:v>311</x:v>
      </x:c>
      <x:c r="K16" s="19"/>
      <x:c r="L16" s="19"/>
      <x:c r="M16" s="19"/>
      <x:c r="N16" s="19" t="s">
        <x:v>310</x:v>
      </x:c>
      <x:c r="O16" s="18" t="s">
        <x:v>366</x:v>
      </x:c>
    </x:row>
    <x:row r="17" ht="15" hidden="0">
      <x:c r="A17" s="18" t="s">
        <x:v>367</x:v>
      </x:c>
      <x:c r="B17" s="18" t="s">
        <x:v>26</x:v>
      </x:c>
      <x:c r="C17" s="18" t="s">
        <x:v>307</x:v>
      </x:c>
      <x:c r="D17" s="18" t="s">
        <x:v>368</x:v>
      </x:c>
      <x:c r="E17" s="18" t="s">
        <x:v>369</x:v>
      </x:c>
      <x:c r="F17" s="19" t="n">
        <x:v>3</x:v>
      </x:c>
      <x:c r="G17" s="19" t="s">
        <x:v>317</x:v>
      </x:c>
      <x:c r="H17" s="19" t="n">
        <x:v>30</x:v>
      </x:c>
      <x:c r="I17" s="19" t="n">
        <x:v>15</x:v>
      </x:c>
      <x:c r="J17" s="18" t="s">
        <x:v>311</x:v>
      </x:c>
      <x:c r="K17" s="19"/>
      <x:c r="L17" s="19"/>
      <x:c r="M17" s="19"/>
      <x:c r="N17" s="19" t="s">
        <x:v>310</x:v>
      </x:c>
      <x:c r="O17" s="18" t="s">
        <x:v>370</x:v>
      </x:c>
    </x:row>
    <x:row r="18" ht="15" hidden="0">
      <x:c r="A18" s="18" t="s">
        <x:v>371</x:v>
      </x:c>
      <x:c r="B18" s="18" t="s">
        <x:v>26</x:v>
      </x:c>
      <x:c r="C18" s="18" t="s">
        <x:v>307</x:v>
      </x:c>
      <x:c r="D18" s="18" t="s">
        <x:v>372</x:v>
      </x:c>
      <x:c r="E18" s="18" t="s">
        <x:v>373</x:v>
      </x:c>
      <x:c r="F18" s="19" t="n">
        <x:v>3</x:v>
      </x:c>
      <x:c r="G18" s="19" t="s">
        <x:v>310</x:v>
      </x:c>
      <x:c r="H18" s="19" t="n">
        <x:v>30</x:v>
      </x:c>
      <x:c r="I18" s="19" t="n">
        <x:v>5</x:v>
      </x:c>
      <x:c r="J18" s="18" t="s">
        <x:v>311</x:v>
      </x:c>
      <x:c r="K18" s="19"/>
      <x:c r="L18" s="19"/>
      <x:c r="M18" s="19"/>
      <x:c r="N18" s="19" t="s">
        <x:v>310</x:v>
      </x:c>
      <x:c r="O18" s="18" t="s">
        <x:v>366</x:v>
      </x:c>
    </x:row>
    <x:row r="19" ht="15" hidden="0">
      <x:c r="A19" s="18" t="s">
        <x:v>374</x:v>
      </x:c>
      <x:c r="B19" s="18" t="s">
        <x:v>43</x:v>
      </x:c>
      <x:c r="C19" s="18" t="s">
        <x:v>339</x:v>
      </x:c>
      <x:c r="D19" s="18" t="s">
        <x:v>375</x:v>
      </x:c>
      <x:c r="E19" s="18" t="s">
        <x:v>376</x:v>
      </x:c>
      <x:c r="F19" s="19" t="n">
        <x:v>3</x:v>
      </x:c>
      <x:c r="G19" s="19" t="s">
        <x:v>310</x:v>
      </x:c>
      <x:c r="H19" s="19" t="n">
        <x:v>30</x:v>
      </x:c>
      <x:c r="I19" s="19" t="n">
        <x:v>20</x:v>
      </x:c>
      <x:c r="J19" s="18" t="s">
        <x:v>311</x:v>
      </x:c>
      <x:c r="K19" s="19"/>
      <x:c r="L19" s="19"/>
      <x:c r="M19" s="19"/>
      <x:c r="N19" s="19" t="s">
        <x:v>310</x:v>
      </x:c>
      <x:c r="O19" s="18" t="s">
        <x:v>366</x:v>
      </x:c>
    </x:row>
    <x:row r="20" ht="15" hidden="0">
      <x:c r="A20" s="18" t="s">
        <x:v>377</x:v>
      </x:c>
      <x:c r="B20" s="18" t="s">
        <x:v>3</x:v>
      </x:c>
      <x:c r="C20" s="18" t="s">
        <x:v>358</x:v>
      </x:c>
      <x:c r="D20" s="18" t="s">
        <x:v>378</x:v>
      </x:c>
      <x:c r="E20" s="18" t="s">
        <x:v>379</x:v>
      </x:c>
      <x:c r="F20" s="19" t="n">
        <x:v>3</x:v>
      </x:c>
      <x:c r="G20" s="19"/>
      <x:c r="H20" s="19" t="n">
        <x:v>30</x:v>
      </x:c>
      <x:c r="I20" s="19" t="n">
        <x:v>10</x:v>
      </x:c>
      <x:c r="J20" s="18" t="s">
        <x:v>360</x:v>
      </x:c>
      <x:c r="K20" s="19"/>
      <x:c r="L20" s="19"/>
      <x:c r="M20" s="19"/>
      <x:c r="N20" s="19"/>
      <x:c r="O20" s="18" t="s">
        <x:v>380</x:v>
      </x:c>
    </x:row>
    <x:row r="21" ht="15" hidden="0">
      <x:c r="A21" s="18" t="s">
        <x:v>381</x:v>
      </x:c>
      <x:c r="B21" s="18" t="s">
        <x:v>5</x:v>
      </x:c>
      <x:c r="C21" s="18" t="s">
        <x:v>358</x:v>
      </x:c>
      <x:c r="D21" s="18" t="s">
        <x:v>359</x:v>
      </x:c>
      <x:c r="E21" s="18" t="s">
        <x:v>379</x:v>
      </x:c>
      <x:c r="F21" s="19" t="n">
        <x:v>2</x:v>
      </x:c>
      <x:c r="G21" s="19"/>
      <x:c r="H21" s="19" t="n">
        <x:v>50</x:v>
      </x:c>
      <x:c r="I21" s="19" t="n">
        <x:v>10</x:v>
      </x:c>
      <x:c r="J21" s="18" t="s">
        <x:v>360</x:v>
      </x:c>
      <x:c r="K21" s="19"/>
      <x:c r="L21" s="19"/>
      <x:c r="M21" s="19"/>
      <x:c r="N21" s="19"/>
      <x:c r="O21" s="18" t="s">
        <x:v>382</x:v>
      </x:c>
    </x:row>
    <x:row r="22" ht="15" hidden="0">
      <x:c r="A22" s="18" t="s">
        <x:v>383</x:v>
      </x:c>
      <x:c r="B22" s="18" t="s">
        <x:v>44</x:v>
      </x:c>
      <x:c r="C22" s="18" t="s">
        <x:v>346</x:v>
      </x:c>
      <x:c r="D22" s="18" t="s">
        <x:v>384</x:v>
      </x:c>
      <x:c r="E22" s="18" t="s">
        <x:v>363</x:v>
      </x:c>
      <x:c r="F22" s="19" t="n">
        <x:v>3</x:v>
      </x:c>
      <x:c r="G22" s="19"/>
      <x:c r="H22" s="19" t="n">
        <x:v>40</x:v>
      </x:c>
      <x:c r="I22" s="19" t="n">
        <x:v>25</x:v>
      </x:c>
      <x:c r="J22" s="18" t="s">
        <x:v>318</x:v>
      </x:c>
      <x:c r="K22" s="19"/>
      <x:c r="L22" s="19"/>
      <x:c r="M22" s="19"/>
      <x:c r="N22" s="19"/>
      <x:c r="O22" s="18" t="s">
        <x:v>385</x:v>
      </x:c>
    </x:row>
    <x:row r="23" ht="15" hidden="0">
      <x:c r="A23" s="18" t="s">
        <x:v>386</x:v>
      </x:c>
      <x:c r="B23" s="18" t="s">
        <x:v>45</x:v>
      </x:c>
      <x:c r="C23" s="18" t="s">
        <x:v>387</x:v>
      </x:c>
      <x:c r="D23" s="18" t="s">
        <x:v>388</x:v>
      </x:c>
      <x:c r="E23" s="18" t="s">
        <x:v>389</x:v>
      </x:c>
      <x:c r="F23" s="19" t="n">
        <x:v>3</x:v>
      </x:c>
      <x:c r="G23" s="19" t="s">
        <x:v>310</x:v>
      </x:c>
      <x:c r="H23" s="19" t="n">
        <x:v>100</x:v>
      </x:c>
      <x:c r="I23" s="19" t="n">
        <x:v>30</x:v>
      </x:c>
      <x:c r="J23" s="18" t="s">
        <x:v>311</x:v>
      </x:c>
      <x:c r="K23" s="19" t="s">
        <x:v>319</x:v>
      </x:c>
      <x:c r="L23" s="19"/>
      <x:c r="M23" s="19" t="s">
        <x:v>319</x:v>
      </x:c>
      <x:c r="N23" s="19"/>
      <x:c r="O23" s="18" t="s">
        <x:v>380</x:v>
      </x:c>
    </x:row>
    <x:row r="24" ht="15" hidden="0">
      <x:c r="A24" s="18" t="s">
        <x:v>262</x:v>
      </x:c>
      <x:c r="B24" s="18" t="s">
        <x:v>22</x:v>
      </x:c>
      <x:c r="C24" s="18" t="s">
        <x:v>339</x:v>
      </x:c>
      <x:c r="D24" s="18" t="s">
        <x:v>390</x:v>
      </x:c>
      <x:c r="E24" s="18" t="s">
        <x:v>391</x:v>
      </x:c>
      <x:c r="F24" s="19" t="n">
        <x:v>2</x:v>
      </x:c>
      <x:c r="G24" s="19" t="s">
        <x:v>310</x:v>
      </x:c>
      <x:c r="H24" s="19" t="n">
        <x:v>40</x:v>
      </x:c>
      <x:c r="I24" s="19" t="n">
        <x:v>25</x:v>
      </x:c>
      <x:c r="J24" s="18" t="s">
        <x:v>311</x:v>
      </x:c>
      <x:c r="K24" s="19" t="s">
        <x:v>319</x:v>
      </x:c>
      <x:c r="L24" s="19"/>
      <x:c r="M24" s="19"/>
      <x:c r="N24" s="19"/>
      <x:c r="O24" s="18" t="s">
        <x:v>385</x:v>
      </x:c>
    </x:row>
    <x:row r="25" ht="15" hidden="0">
      <x:c r="A25" s="18" t="s">
        <x:v>392</x:v>
      </x:c>
      <x:c r="B25" s="18" t="s">
        <x:v>22</x:v>
      </x:c>
      <x:c r="C25" s="18" t="s">
        <x:v>339</x:v>
      </x:c>
      <x:c r="D25" s="18" t="s">
        <x:v>309</x:v>
      </x:c>
      <x:c r="E25" s="18" t="s">
        <x:v>341</x:v>
      </x:c>
      <x:c r="F25" s="19" t="n">
        <x:v>2</x:v>
      </x:c>
      <x:c r="G25" s="19" t="s">
        <x:v>310</x:v>
      </x:c>
      <x:c r="H25" s="19" t="n">
        <x:v>30</x:v>
      </x:c>
      <x:c r="I25" s="19" t="n">
        <x:v>5</x:v>
      </x:c>
      <x:c r="J25" s="18" t="s">
        <x:v>311</x:v>
      </x:c>
      <x:c r="K25" s="19"/>
      <x:c r="L25" s="19" t="s">
        <x:v>319</x:v>
      </x:c>
      <x:c r="M25" s="19"/>
      <x:c r="N25" s="19"/>
      <x:c r="O25" s="18" t="s">
        <x:v>385</x:v>
      </x:c>
    </x:row>
    <x:row r="26" ht="15" hidden="0">
      <x:c r="A26" s="18" t="s">
        <x:v>393</x:v>
      </x:c>
      <x:c r="B26" s="18" t="s">
        <x:v>15</x:v>
      </x:c>
      <x:c r="C26" s="18" t="s">
        <x:v>394</x:v>
      </x:c>
      <x:c r="D26" s="18" t="s">
        <x:v>395</x:v>
      </x:c>
      <x:c r="E26" s="18" t="s">
        <x:v>363</x:v>
      </x:c>
      <x:c r="F26" s="19" t="n">
        <x:v>3</x:v>
      </x:c>
      <x:c r="G26" s="19" t="s">
        <x:v>317</x:v>
      </x:c>
      <x:c r="H26" s="19" t="n">
        <x:v>30</x:v>
      </x:c>
      <x:c r="I26" s="19" t="n">
        <x:v>50</x:v>
      </x:c>
      <x:c r="J26" s="18" t="s">
        <x:v>318</x:v>
      </x:c>
      <x:c r="K26" s="19" t="s">
        <x:v>319</x:v>
      </x:c>
      <x:c r="L26" s="19" t="s">
        <x:v>319</x:v>
      </x:c>
      <x:c r="M26" s="19"/>
      <x:c r="N26" s="19"/>
      <x:c r="O26" s="18" t="s">
        <x:v>396</x:v>
      </x:c>
    </x:row>
    <x:row r="27" ht="15" hidden="0">
      <x:c r="A27" s="18" t="s">
        <x:v>397</x:v>
      </x:c>
      <x:c r="B27" s="18" t="s">
        <x:v>18</x:v>
      </x:c>
      <x:c r="C27" s="18" t="s">
        <x:v>398</x:v>
      </x:c>
      <x:c r="D27" s="18" t="s">
        <x:v>328</x:v>
      </x:c>
      <x:c r="E27" s="18" t="s">
        <x:v>399</x:v>
      </x:c>
      <x:c r="F27" s="19" t="n">
        <x:v>4</x:v>
      </x:c>
      <x:c r="G27" s="19" t="s">
        <x:v>317</x:v>
      </x:c>
      <x:c r="H27" s="19" t="n">
        <x:v>100</x:v>
      </x:c>
      <x:c r="I27" s="19" t="n">
        <x:v>40</x:v>
      </x:c>
      <x:c r="J27" s="18" t="s">
        <x:v>318</x:v>
      </x:c>
      <x:c r="K27" s="19" t="s">
        <x:v>319</x:v>
      </x:c>
      <x:c r="L27" s="19" t="s">
        <x:v>319</x:v>
      </x:c>
      <x:c r="M27" s="19"/>
      <x:c r="N27" s="19"/>
      <x:c r="O27" s="18" t="s">
        <x:v>400</x:v>
      </x:c>
    </x:row>
    <x:row r="28" ht="15" hidden="0">
      <x:c r="A28" s="18" t="s">
        <x:v>401</x:v>
      </x:c>
      <x:c r="B28" s="18" t="s">
        <x:v>46</x:v>
      </x:c>
      <x:c r="C28" s="18" t="s">
        <x:v>314</x:v>
      </x:c>
      <x:c r="D28" s="18" t="s">
        <x:v>315</x:v>
      </x:c>
      <x:c r="E28" s="18" t="s">
        <x:v>363</x:v>
      </x:c>
      <x:c r="F28" s="19" t="n">
        <x:v>3</x:v>
      </x:c>
      <x:c r="G28" s="19" t="s">
        <x:v>317</x:v>
      </x:c>
      <x:c r="H28" s="19" t="n">
        <x:v>150</x:v>
      </x:c>
      <x:c r="I28" s="19" t="n">
        <x:v>80</x:v>
      </x:c>
      <x:c r="J28" s="18" t="s">
        <x:v>318</x:v>
      </x:c>
      <x:c r="K28" s="19" t="s">
        <x:v>319</x:v>
      </x:c>
      <x:c r="L28" s="19" t="s">
        <x:v>319</x:v>
      </x:c>
      <x:c r="M28" s="19"/>
      <x:c r="N28" s="19" t="s">
        <x:v>310</x:v>
      </x:c>
      <x:c r="O28" s="18" t="s">
        <x:v>402</x:v>
      </x:c>
    </x:row>
    <x:row r="29" ht="15" hidden="0">
      <x:c r="A29" s="18" t="s">
        <x:v>25</x:v>
      </x:c>
      <x:c r="B29" s="18" t="s">
        <x:v>25</x:v>
      </x:c>
      <x:c r="C29" s="18" t="s">
        <x:v>403</x:v>
      </x:c>
      <x:c r="D29" s="18" t="s">
        <x:v>404</x:v>
      </x:c>
      <x:c r="E29" s="18" t="s">
        <x:v>363</x:v>
      </x:c>
      <x:c r="F29" s="19" t="n">
        <x:v>3</x:v>
      </x:c>
      <x:c r="G29" s="19" t="s">
        <x:v>317</x:v>
      </x:c>
      <x:c r="H29" s="19" t="n">
        <x:v>100</x:v>
      </x:c>
      <x:c r="I29" s="19" t="n">
        <x:v>100</x:v>
      </x:c>
      <x:c r="J29" s="18" t="s">
        <x:v>311</x:v>
      </x:c>
      <x:c r="K29" s="19"/>
      <x:c r="L29" s="19" t="s">
        <x:v>319</x:v>
      </x:c>
      <x:c r="M29" s="19"/>
      <x:c r="N29" s="19"/>
      <x:c r="O29" s="18" t="s">
        <x:v>405</x:v>
      </x:c>
    </x:row>
    <x:row r="30" ht="15" hidden="0">
      <x:c r="A30" s="18" t="s">
        <x:v>406</x:v>
      </x:c>
      <x:c r="B30" s="18" t="s">
        <x:v>30</x:v>
      </x:c>
      <x:c r="C30" s="18" t="s">
        <x:v>398</x:v>
      </x:c>
      <x:c r="D30" s="18" t="s">
        <x:v>328</x:v>
      </x:c>
      <x:c r="E30" s="18" t="s">
        <x:v>407</x:v>
      </x:c>
      <x:c r="F30" s="19" t="n">
        <x:v>4</x:v>
      </x:c>
      <x:c r="G30" s="19" t="s">
        <x:v>317</x:v>
      </x:c>
      <x:c r="H30" s="19" t="n">
        <x:v>80</x:v>
      </x:c>
      <x:c r="I30" s="19" t="n">
        <x:v>30</x:v>
      </x:c>
      <x:c r="J30" s="18" t="s">
        <x:v>318</x:v>
      </x:c>
      <x:c r="K30" s="19" t="s">
        <x:v>319</x:v>
      </x:c>
      <x:c r="L30" s="19"/>
      <x:c r="M30" s="19" t="s">
        <x:v>319</x:v>
      </x:c>
      <x:c r="N30" s="19"/>
      <x:c r="O30" s="18" t="s">
        <x:v>408</x:v>
      </x:c>
    </x:row>
    <x:row r="31" ht="15" hidden="0">
      <x:c r="A31" s="18" t="s">
        <x:v>409</x:v>
      </x:c>
      <x:c r="B31" s="18" t="s">
        <x:v>29</x:v>
      </x:c>
      <x:c r="C31" s="18" t="s">
        <x:v>398</x:v>
      </x:c>
      <x:c r="D31" s="18" t="s">
        <x:v>328</x:v>
      </x:c>
      <x:c r="E31" s="18" t="s">
        <x:v>399</x:v>
      </x:c>
      <x:c r="F31" s="19" t="n">
        <x:v>4</x:v>
      </x:c>
      <x:c r="G31" s="19" t="s">
        <x:v>317</x:v>
      </x:c>
      <x:c r="H31" s="19" t="n">
        <x:v>100</x:v>
      </x:c>
      <x:c r="I31" s="19" t="n">
        <x:v>40</x:v>
      </x:c>
      <x:c r="J31" s="18" t="s">
        <x:v>318</x:v>
      </x:c>
      <x:c r="K31" s="19" t="s">
        <x:v>319</x:v>
      </x:c>
      <x:c r="L31" s="19" t="s">
        <x:v>319</x:v>
      </x:c>
      <x:c r="M31" s="19"/>
      <x:c r="N31" s="19" t="s">
        <x:v>310</x:v>
      </x:c>
      <x:c r="O31" s="18" t="s">
        <x:v>410</x:v>
      </x:c>
    </x:row>
    <x:row r="32" ht="15" hidden="0">
      <x:c r="A32" s="18" t="s">
        <x:v>411</x:v>
      </x:c>
      <x:c r="B32" s="18" t="s">
        <x:v>28</x:v>
      </x:c>
      <x:c r="C32" s="18" t="s">
        <x:v>358</x:v>
      </x:c>
      <x:c r="D32" s="18" t="s">
        <x:v>412</x:v>
      </x:c>
      <x:c r="E32" s="18" t="s">
        <x:v>413</x:v>
      </x:c>
      <x:c r="F32" s="19" t="n">
        <x:v>2</x:v>
      </x:c>
      <x:c r="G32" s="19"/>
      <x:c r="H32" s="19" t="n">
        <x:v>50</x:v>
      </x:c>
      <x:c r="I32" s="19" t="n">
        <x:v>10</x:v>
      </x:c>
      <x:c r="J32" s="18" t="s">
        <x:v>360</x:v>
      </x:c>
      <x:c r="K32" s="19"/>
      <x:c r="L32" s="19"/>
      <x:c r="M32" s="19"/>
      <x:c r="N32" s="19"/>
      <x:c r="O32" s="18" t="s">
        <x:v>414</x:v>
      </x:c>
    </x:row>
    <x:row r="33" ht="15" hidden="0">
      <x:c r="A33" s="18" t="s">
        <x:v>415</x:v>
      </x:c>
      <x:c r="B33" s="18" t="s">
        <x:v>37</x:v>
      </x:c>
      <x:c r="C33" s="18" t="s">
        <x:v>398</x:v>
      </x:c>
      <x:c r="D33" s="18" t="s">
        <x:v>416</x:v>
      </x:c>
      <x:c r="E33" s="18" t="s">
        <x:v>399</x:v>
      </x:c>
      <x:c r="F33" s="19" t="n">
        <x:v>3</x:v>
      </x:c>
      <x:c r="G33" s="19" t="s">
        <x:v>317</x:v>
      </x:c>
      <x:c r="H33" s="19" t="n">
        <x:v>100</x:v>
      </x:c>
      <x:c r="I33" s="19" t="n">
        <x:v>40</x:v>
      </x:c>
      <x:c r="J33" s="18" t="s">
        <x:v>318</x:v>
      </x:c>
      <x:c r="K33" s="19" t="s">
        <x:v>319</x:v>
      </x:c>
      <x:c r="L33" s="19" t="s">
        <x:v>319</x:v>
      </x:c>
      <x:c r="M33" s="19"/>
      <x:c r="N33" s="19"/>
      <x:c r="O33" s="18" t="s">
        <x:v>417</x:v>
      </x:c>
    </x:row>
    <x:row r="34" ht="15" hidden="0">
      <x:c r="A34" s="18" t="s">
        <x:v>418</x:v>
      </x:c>
      <x:c r="B34" s="18" t="s">
        <x:v>20</x:v>
      </x:c>
      <x:c r="C34" s="18" t="s">
        <x:v>307</x:v>
      </x:c>
      <x:c r="D34" s="18" t="s">
        <x:v>372</x:v>
      </x:c>
      <x:c r="E34" s="18" t="s">
        <x:v>419</x:v>
      </x:c>
      <x:c r="F34" s="19" t="n">
        <x:v>3</x:v>
      </x:c>
      <x:c r="G34" s="19" t="s">
        <x:v>310</x:v>
      </x:c>
      <x:c r="H34" s="19" t="n">
        <x:v>15</x:v>
      </x:c>
      <x:c r="I34" s="19" t="n">
        <x:v>5</x:v>
      </x:c>
      <x:c r="J34" s="18" t="s">
        <x:v>311</x:v>
      </x:c>
      <x:c r="K34" s="19"/>
      <x:c r="L34" s="19"/>
      <x:c r="M34" s="19"/>
      <x:c r="N34" s="19" t="s">
        <x:v>310</x:v>
      </x:c>
      <x:c r="O34" s="18" t="s">
        <x:v>385</x:v>
      </x:c>
    </x:row>
    <x:row r="35" ht="15" hidden="0">
      <x:c r="A35" s="18" t="s">
        <x:v>420</x:v>
      </x:c>
      <x:c r="B35" s="18" t="s">
        <x:v>47</x:v>
      </x:c>
      <x:c r="C35" s="18" t="s">
        <x:v>346</x:v>
      </x:c>
      <x:c r="D35" s="18" t="s">
        <x:v>384</x:v>
      </x:c>
      <x:c r="E35" s="18" t="s">
        <x:v>262</x:v>
      </x:c>
      <x:c r="F35" s="19" t="n">
        <x:v>3</x:v>
      </x:c>
      <x:c r="G35" s="19" t="s">
        <x:v>310</x:v>
      </x:c>
      <x:c r="H35" s="19" t="n">
        <x:v>15</x:v>
      </x:c>
      <x:c r="I35" s="19" t="n">
        <x:v>5</x:v>
      </x:c>
      <x:c r="J35" s="18" t="s">
        <x:v>360</x:v>
      </x:c>
      <x:c r="K35" s="19"/>
      <x:c r="L35" s="19"/>
      <x:c r="M35" s="19"/>
      <x:c r="N35" s="19"/>
      <x:c r="O35" s="18" t="s">
        <x:v>380</x:v>
      </x:c>
    </x:row>
    <x:row r="36" ht="15" hidden="0">
      <x:c r="A36" s="18" t="s">
        <x:v>376</x:v>
      </x:c>
      <x:c r="B36" s="18" t="s">
        <x:v>32</x:v>
      </x:c>
      <x:c r="C36" s="18" t="s">
        <x:v>351</x:v>
      </x:c>
      <x:c r="D36" s="18" t="s">
        <x:v>421</x:v>
      </x:c>
      <x:c r="E36" s="18" t="s">
        <x:v>422</x:v>
      </x:c>
      <x:c r="F36" s="19" t="n">
        <x:v>2</x:v>
      </x:c>
      <x:c r="G36" s="19" t="s">
        <x:v>310</x:v>
      </x:c>
      <x:c r="H36" s="19" t="n">
        <x:v>15</x:v>
      </x:c>
      <x:c r="I36" s="19" t="n">
        <x:v>5</x:v>
      </x:c>
      <x:c r="J36" s="18" t="s">
        <x:v>360</x:v>
      </x:c>
      <x:c r="K36" s="19"/>
      <x:c r="L36" s="19"/>
      <x:c r="M36" s="19"/>
      <x:c r="N36" s="19"/>
      <x:c r="O36" s="18" t="s">
        <x:v>380</x:v>
      </x:c>
    </x:row>
    <x:row r="37" ht="15" hidden="0">
      <x:c r="A37" s="18" t="s">
        <x:v>423</x:v>
      </x:c>
      <x:c r="B37" s="18" t="s">
        <x:v>48</x:v>
      </x:c>
      <x:c r="C37" s="18" t="s">
        <x:v>351</x:v>
      </x:c>
      <x:c r="D37" s="18" t="s">
        <x:v>421</x:v>
      </x:c>
      <x:c r="E37" s="18"/>
      <x:c r="F37" s="19" t="n">
        <x:v>2</x:v>
      </x:c>
      <x:c r="G37" s="19" t="s">
        <x:v>310</x:v>
      </x:c>
      <x:c r="H37" s="19" t="n">
        <x:v>25</x:v>
      </x:c>
      <x:c r="I37" s="19" t="n">
        <x:v>5</x:v>
      </x:c>
      <x:c r="J37" s="18" t="s">
        <x:v>311</x:v>
      </x:c>
      <x:c r="K37" s="19"/>
      <x:c r="L37" s="19"/>
      <x:c r="M37" s="19"/>
      <x:c r="N37" s="19"/>
      <x:c r="O37" s="18" t="s">
        <x:v>385</x:v>
      </x:c>
    </x:row>
    <x:row r="38" ht="15" hidden="0">
      <x:c r="A38" s="18" t="s">
        <x:v>424</x:v>
      </x:c>
      <x:c r="B38" s="18" t="s">
        <x:v>1</x:v>
      </x:c>
      <x:c r="C38" s="18" t="s">
        <x:v>307</x:v>
      </x:c>
      <x:c r="D38" s="18" t="s">
        <x:v>368</x:v>
      </x:c>
      <x:c r="E38" s="18" t="s">
        <x:v>369</x:v>
      </x:c>
      <x:c r="F38" s="19" t="n">
        <x:v>3</x:v>
      </x:c>
      <x:c r="G38" s="19" t="s">
        <x:v>310</x:v>
      </x:c>
      <x:c r="H38" s="19" t="n">
        <x:v>30</x:v>
      </x:c>
      <x:c r="I38" s="19" t="n">
        <x:v>15</x:v>
      </x:c>
      <x:c r="J38" s="18" t="s">
        <x:v>311</x:v>
      </x:c>
      <x:c r="K38" s="19"/>
      <x:c r="L38" s="19"/>
      <x:c r="M38" s="19" t="s">
        <x:v>319</x:v>
      </x:c>
      <x:c r="N38" s="19"/>
      <x:c r="O38" s="18" t="s">
        <x:v>425</x:v>
      </x:c>
    </x:row>
    <x:row r="39" ht="15" hidden="0">
      <x:c r="A39" s="18" t="s">
        <x:v>426</x:v>
      </x:c>
      <x:c r="B39" s="18" t="s">
        <x:v>13</x:v>
      </x:c>
      <x:c r="C39" s="18" t="s">
        <x:v>346</x:v>
      </x:c>
      <x:c r="D39" s="18" t="s">
        <x:v>384</x:v>
      </x:c>
      <x:c r="E39" s="18" t="s">
        <x:v>363</x:v>
      </x:c>
      <x:c r="F39" s="19" t="n">
        <x:v>2</x:v>
      </x:c>
      <x:c r="G39" s="19" t="s">
        <x:v>310</x:v>
      </x:c>
      <x:c r="H39" s="19" t="n">
        <x:v>40</x:v>
      </x:c>
      <x:c r="I39" s="19" t="n">
        <x:v>25</x:v>
      </x:c>
      <x:c r="J39" s="18" t="s">
        <x:v>318</x:v>
      </x:c>
      <x:c r="K39" s="19" t="s">
        <x:v>319</x:v>
      </x:c>
      <x:c r="L39" s="19" t="s">
        <x:v>319</x:v>
      </x:c>
      <x:c r="M39" s="19" t="s">
        <x:v>319</x:v>
      </x:c>
      <x:c r="N39" s="19"/>
      <x:c r="O39" s="18" t="s">
        <x:v>385</x:v>
      </x:c>
    </x:row>
    <x:row r="40" ht="15" hidden="0">
      <x:c r="A40" s="18" t="s">
        <x:v>427</x:v>
      </x:c>
      <x:c r="B40" s="18" t="s">
        <x:v>34</x:v>
      </x:c>
      <x:c r="C40" s="18" t="s">
        <x:v>331</x:v>
      </x:c>
      <x:c r="D40" s="18" t="s">
        <x:v>428</x:v>
      </x:c>
      <x:c r="E40" s="18" t="s">
        <x:v>429</x:v>
      </x:c>
      <x:c r="F40" s="19" t="n">
        <x:v>2</x:v>
      </x:c>
      <x:c r="G40" s="19" t="s">
        <x:v>310</x:v>
      </x:c>
      <x:c r="H40" s="19" t="n">
        <x:v>25</x:v>
      </x:c>
      <x:c r="I40" s="19" t="n">
        <x:v>15</x:v>
      </x:c>
      <x:c r="J40" s="18" t="s">
        <x:v>311</x:v>
      </x:c>
      <x:c r="K40" s="19"/>
      <x:c r="L40" s="19"/>
      <x:c r="M40" s="19"/>
      <x:c r="N40" s="19"/>
      <x:c r="O40" s="18" t="s">
        <x:v>385</x:v>
      </x:c>
    </x:row>
    <x:row r="41" ht="15" hidden="0">
      <x:c r="A41" s="18" t="s">
        <x:v>430</x:v>
      </x:c>
      <x:c r="B41" s="18" t="s">
        <x:v>49</x:v>
      </x:c>
      <x:c r="C41" s="18" t="s">
        <x:v>431</x:v>
      </x:c>
      <x:c r="D41" s="18" t="s">
        <x:v>432</x:v>
      </x:c>
      <x:c r="E41" s="18"/>
      <x:c r="F41" s="19" t="n">
        <x:v>2</x:v>
      </x:c>
      <x:c r="G41" s="19" t="s">
        <x:v>310</x:v>
      </x:c>
      <x:c r="H41" s="19" t="n">
        <x:v>25</x:v>
      </x:c>
      <x:c r="I41" s="19" t="n">
        <x:v>15</x:v>
      </x:c>
      <x:c r="J41" s="18" t="s">
        <x:v>311</x:v>
      </x:c>
      <x:c r="K41" s="19"/>
      <x:c r="L41" s="19"/>
      <x:c r="M41" s="19"/>
      <x:c r="N41" s="19"/>
      <x:c r="O41" s="18" t="s">
        <x:v>385</x:v>
      </x:c>
    </x:row>
    <x:row r="42" ht="28.350000381469727" hidden="0">
      <x:c r="A42" s="18" t="s">
        <x:v>433</x:v>
      </x:c>
      <x:c r="B42" s="18" t="s">
        <x:v>31</x:v>
      </x:c>
      <x:c r="C42" s="18" t="s">
        <x:v>314</x:v>
      </x:c>
      <x:c r="D42" s="18" t="s">
        <x:v>434</x:v>
      </x:c>
      <x:c r="E42" s="18" t="s">
        <x:v>435</x:v>
      </x:c>
      <x:c r="F42" s="19" t="n">
        <x:v>3</x:v>
      </x:c>
      <x:c r="G42" s="19" t="s">
        <x:v>317</x:v>
      </x:c>
      <x:c r="H42" s="19" t="n">
        <x:v>200</x:v>
      </x:c>
      <x:c r="I42" s="19" t="n">
        <x:v>100</x:v>
      </x:c>
      <x:c r="J42" s="18" t="s">
        <x:v>318</x:v>
      </x:c>
      <x:c r="K42" s="19" t="s">
        <x:v>319</x:v>
      </x:c>
      <x:c r="L42" s="19" t="s">
        <x:v>319</x:v>
      </x:c>
      <x:c r="M42" s="19"/>
      <x:c r="N42" s="19" t="s">
        <x:v>310</x:v>
      </x:c>
      <x:c r="O42" s="18" t="s">
        <x:v>320</x:v>
      </x:c>
    </x:row>
    <x:row r="43" ht="15" hidden="0">
      <x:c r="A43" s="18" t="s">
        <x:v>436</x:v>
      </x:c>
      <x:c r="B43" s="18" t="s">
        <x:v>35</x:v>
      </x:c>
      <x:c r="C43" s="18" t="s">
        <x:v>314</x:v>
      </x:c>
      <x:c r="D43" s="18" t="s">
        <x:v>437</x:v>
      </x:c>
      <x:c r="E43" s="18" t="s">
        <x:v>438</x:v>
      </x:c>
      <x:c r="F43" s="19" t="n">
        <x:v>3</x:v>
      </x:c>
      <x:c r="G43" s="19" t="s">
        <x:v>317</x:v>
      </x:c>
      <x:c r="H43" s="19" t="n">
        <x:v>120</x:v>
      </x:c>
      <x:c r="I43" s="19" t="n">
        <x:v>80</x:v>
      </x:c>
      <x:c r="J43" s="18" t="s">
        <x:v>318</x:v>
      </x:c>
      <x:c r="K43" s="19" t="s">
        <x:v>319</x:v>
      </x:c>
      <x:c r="L43" s="19" t="s">
        <x:v>319</x:v>
      </x:c>
      <x:c r="M43" s="19"/>
      <x:c r="N43" s="19"/>
      <x:c r="O43" s="18" t="s">
        <x:v>439</x:v>
      </x:c>
    </x:row>
    <x:row r="45" ht="15" hidden="0">
      <x:c r="A45" s="14" t="s">
        <x:v>290</x:v>
      </x:c>
      <x:c r="B45" t="s">
        <x:v>291</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5" hidden="0" customWidth="1"/>
    <x:col min="3" max="3" width="28" hidden="0" customWidth="1"/>
    <x:col min="4" max="4" width="18" hidden="0" customWidth="1"/>
    <x:col min="5" max="5" width="22" hidden="0" customWidth="1"/>
    <x:col min="6" max="6" width="52" hidden="0" customWidth="1"/>
  </x:cols>
  <x:sheetData>
    <x:row r="1" ht="18" hidden="0" customHeight="1">
      <x:c r="A1" s="42" t="str">
        <x:v>Entità normalizzate per le consociazioni</x:v>
      </x:c>
      <x:c r="B1" s="42"/>
      <x:c r="C1" s="42"/>
      <x:c r="D1" s="42"/>
      <x:c r="E1" s="42"/>
      <x:c r="F1" s="42"/>
    </x:row>
    <x:row r="2" ht="15" hidden="0" customHeight="1">
      <x:c r="A2" s="49" t="str">
        <x:v>Le 50 entità corrispondono esattamente alle intestazioni della matrice. I gruppi botanici generali sono distinti dalle singole colture.</x:v>
      </x:c>
      <x:c r="B2" s="49"/>
      <x:c r="C2" s="49"/>
      <x:c r="D2" s="49"/>
      <x:c r="E2" s="49"/>
      <x:c r="F2" s="49"/>
    </x:row>
    <x:row r="3"/>
    <x:row r="4" ht="15" hidden="0" customHeight="1">
      <x:c r="A4" s="58" t="str">
        <x:v>Entita_ID</x:v>
      </x:c>
      <x:c r="B4" s="58" t="str">
        <x:v>Nome canonico EN</x:v>
      </x:c>
      <x:c r="C4" s="58" t="str">
        <x:v>Nome visualizzato IT</x:v>
      </x:c>
      <x:c r="D4" s="58" t="str">
        <x:v>Livello</x:v>
      </x:c>
      <x:c r="E4" s="58" t="str">
        <x:v>Origine</x:v>
      </x:c>
      <x:c r="F4" s="58" t="str">
        <x:v>Nota</x:v>
      </x:c>
    </x:row>
    <x:row r="5" ht="15" hidden="0" customHeight="1">
      <x:c r="A5" s="65" t="str">
        <x:v>alliums</x:v>
      </x:c>
      <x:c r="B5" s="65" t="str">
        <x:v>Alliums</x:v>
      </x:c>
      <x:c r="C5" s="65" t="str">
        <x:v>Allium (gruppo)</x:v>
      </x:c>
      <x:c r="D5" s="65" t="str">
        <x:v>Gruppo/famiglia</x:v>
      </x:c>
      <x:c r="E5" s="65" t="str">
        <x:v>Matrice Consociazioni</x:v>
      </x:c>
      <x:c r="F5" s="65" t="str">
        <x:v>Traduzione italiana editoriale; la relazione resta associata al nome canonico inglese della matrice.</x:v>
      </x:c>
    </x:row>
    <x:row r="6" ht="15" hidden="0" customHeight="1">
      <x:c r="A6" s="65" t="str">
        <x:v>asparagus</x:v>
      </x:c>
      <x:c r="B6" s="65" t="str">
        <x:v>Asparagus</x:v>
      </x:c>
      <x:c r="C6" s="65" t="str">
        <x:v>Asparago</x:v>
      </x:c>
      <x:c r="D6" s="65" t="str">
        <x:v>Coltura</x:v>
      </x:c>
      <x:c r="E6" s="65" t="str">
        <x:v>Matrice Consociazioni</x:v>
      </x:c>
      <x:c r="F6" s="65" t="str">
        <x:v>Traduzione italiana editoriale; la relazione resta associata al nome canonico inglese della matrice.</x:v>
      </x:c>
    </x:row>
    <x:row r="7" ht="15" hidden="0" customHeight="1">
      <x:c r="A7" s="65" t="str">
        <x:v>beans_bush</x:v>
      </x:c>
      <x:c r="B7" s="65" t="str">
        <x:v>Beans, bush</x:v>
      </x:c>
      <x:c r="C7" s="65" t="str">
        <x:v>Fagiolo nano</x:v>
      </x:c>
      <x:c r="D7" s="65" t="str">
        <x:v>Coltura</x:v>
      </x:c>
      <x:c r="E7" s="65" t="str">
        <x:v>Matrice Consociazioni</x:v>
      </x:c>
      <x:c r="F7" s="65" t="str">
        <x:v>Traduzione italiana editoriale; la relazione resta associata al nome canonico inglese della matrice.</x:v>
      </x:c>
    </x:row>
    <x:row r="8" ht="15" hidden="0" customHeight="1">
      <x:c r="A8" s="65" t="str">
        <x:v>beans_pole</x:v>
      </x:c>
      <x:c r="B8" s="65" t="str">
        <x:v>Beans, pole</x:v>
      </x:c>
      <x:c r="C8" s="65" t="str">
        <x:v>Fagiolo rampicante</x:v>
      </x:c>
      <x:c r="D8" s="65" t="str">
        <x:v>Coltura</x:v>
      </x:c>
      <x:c r="E8" s="65" t="str">
        <x:v>Matrice Consociazioni</x:v>
      </x:c>
      <x:c r="F8" s="65" t="str">
        <x:v>Traduzione italiana editoriale; la relazione resta associata al nome canonico inglese della matrice.</x:v>
      </x:c>
    </x:row>
    <x:row r="9" ht="15" hidden="0" customHeight="1">
      <x:c r="A9" s="65" t="str">
        <x:v>beans_fava</x:v>
      </x:c>
      <x:c r="B9" s="65" t="str">
        <x:v>Beans, fava</x:v>
      </x:c>
      <x:c r="C9" s="65" t="str">
        <x:v>Fava</x:v>
      </x:c>
      <x:c r="D9" s="65" t="str">
        <x:v>Coltura</x:v>
      </x:c>
      <x:c r="E9" s="65" t="str">
        <x:v>Matrice Consociazioni</x:v>
      </x:c>
      <x:c r="F9" s="65" t="str">
        <x:v>Traduzione italiana editoriale; la relazione resta associata al nome canonico inglese della matrice.</x:v>
      </x:c>
    </x:row>
    <x:row r="10" ht="15" hidden="0" customHeight="1">
      <x:c r="A10" s="65" t="str">
        <x:v>beets</x:v>
      </x:c>
      <x:c r="B10" s="65" t="str">
        <x:v>Beets</x:v>
      </x:c>
      <x:c r="C10" s="65" t="str">
        <x:v>Barbabietola</x:v>
      </x:c>
      <x:c r="D10" s="65" t="str">
        <x:v>Coltura</x:v>
      </x:c>
      <x:c r="E10" s="65" t="str">
        <x:v>Matrice Consociazioni</x:v>
      </x:c>
      <x:c r="F10" s="65" t="str">
        <x:v>Traduzione italiana editoriale; la relazione resta associata al nome canonico inglese della matrice.</x:v>
      </x:c>
    </x:row>
    <x:row r="11" ht="15" hidden="0" customHeight="1">
      <x:c r="A11" s="65" t="str">
        <x:v>brassicas</x:v>
      </x:c>
      <x:c r="B11" s="65" t="str">
        <x:v>Brassicas</x:v>
      </x:c>
      <x:c r="C11" s="65" t="str">
        <x:v>Brassicacee (gruppo)</x:v>
      </x:c>
      <x:c r="D11" s="65" t="str">
        <x:v>Gruppo/famiglia</x:v>
      </x:c>
      <x:c r="E11" s="65" t="str">
        <x:v>Matrice Consociazioni</x:v>
      </x:c>
      <x:c r="F11" s="65" t="str">
        <x:v>Traduzione italiana editoriale; la relazione resta associata al nome canonico inglese della matrice.</x:v>
      </x:c>
    </x:row>
    <x:row r="12" ht="15" hidden="0" customHeight="1">
      <x:c r="A12" s="65" t="str">
        <x:v>broccoli</x:v>
      </x:c>
      <x:c r="B12" s="65" t="str">
        <x:v>Broccoli</x:v>
      </x:c>
      <x:c r="C12" s="65" t="str">
        <x:v>Broccolo</x:v>
      </x:c>
      <x:c r="D12" s="65" t="str">
        <x:v>Coltura</x:v>
      </x:c>
      <x:c r="E12" s="65" t="str">
        <x:v>Matrice Consociazioni</x:v>
      </x:c>
      <x:c r="F12" s="65" t="str">
        <x:v>Traduzione italiana editoriale; la relazione resta associata al nome canonico inglese della matrice.</x:v>
      </x:c>
    </x:row>
    <x:row r="13" ht="15" hidden="0" customHeight="1">
      <x:c r="A13" s="65" t="str">
        <x:v>brussels_sprouts</x:v>
      </x:c>
      <x:c r="B13" s="65" t="str">
        <x:v>Brussels sprouts</x:v>
      </x:c>
      <x:c r="C13" s="65" t="str">
        <x:v>Cavoletti di Bruxelles</x:v>
      </x:c>
      <x:c r="D13" s="65" t="str">
        <x:v>Coltura</x:v>
      </x:c>
      <x:c r="E13" s="65" t="str">
        <x:v>Matrice Consociazioni</x:v>
      </x:c>
      <x:c r="F13" s="65" t="str">
        <x:v>Traduzione italiana editoriale; la relazione resta associata al nome canonico inglese della matrice.</x:v>
      </x:c>
    </x:row>
    <x:row r="14" ht="15" hidden="0" customHeight="1">
      <x:c r="A14" s="65" t="str">
        <x:v>cabbage</x:v>
      </x:c>
      <x:c r="B14" s="65" t="str">
        <x:v>Cabbage</x:v>
      </x:c>
      <x:c r="C14" s="65" t="str">
        <x:v>Cavolo</x:v>
      </x:c>
      <x:c r="D14" s="65" t="str">
        <x:v>Coltura</x:v>
      </x:c>
      <x:c r="E14" s="65" t="str">
        <x:v>Matrice Consociazioni</x:v>
      </x:c>
      <x:c r="F14" s="65" t="str">
        <x:v>Traduzione italiana editoriale; la relazione resta associata al nome canonico inglese della matrice.</x:v>
      </x:c>
    </x:row>
    <x:row r="15" ht="15" hidden="0" customHeight="1">
      <x:c r="A15" s="65" t="str">
        <x:v>carrots</x:v>
      </x:c>
      <x:c r="B15" s="65" t="str">
        <x:v>Carrots</x:v>
      </x:c>
      <x:c r="C15" s="65" t="str">
        <x:v>Carota</x:v>
      </x:c>
      <x:c r="D15" s="65" t="str">
        <x:v>Coltura</x:v>
      </x:c>
      <x:c r="E15" s="65" t="str">
        <x:v>Matrice Consociazioni</x:v>
      </x:c>
      <x:c r="F15" s="65" t="str">
        <x:v>Traduzione italiana editoriale; la relazione resta associata al nome canonico inglese della matrice.</x:v>
      </x:c>
    </x:row>
    <x:row r="16" ht="15" hidden="0" customHeight="1">
      <x:c r="A16" s="65" t="str">
        <x:v>cauliflower</x:v>
      </x:c>
      <x:c r="B16" s="65" t="str">
        <x:v>Cauliflower</x:v>
      </x:c>
      <x:c r="C16" s="65" t="str">
        <x:v>Cavolfiore</x:v>
      </x:c>
      <x:c r="D16" s="65" t="str">
        <x:v>Coltura</x:v>
      </x:c>
      <x:c r="E16" s="65" t="str">
        <x:v>Matrice Consociazioni</x:v>
      </x:c>
      <x:c r="F16" s="65" t="str">
        <x:v>Traduzione italiana editoriale; la relazione resta associata al nome canonico inglese della matrice.</x:v>
      </x:c>
    </x:row>
    <x:row r="17" ht="15" hidden="0" customHeight="1">
      <x:c r="A17" s="65" t="str">
        <x:v>celery</x:v>
      </x:c>
      <x:c r="B17" s="65" t="str">
        <x:v>Celery</x:v>
      </x:c>
      <x:c r="C17" s="65" t="str">
        <x:v>Sedano</x:v>
      </x:c>
      <x:c r="D17" s="65" t="str">
        <x:v>Coltura</x:v>
      </x:c>
      <x:c r="E17" s="65" t="str">
        <x:v>Matrice Consociazioni</x:v>
      </x:c>
      <x:c r="F17" s="65" t="str">
        <x:v>Traduzione italiana editoriale; la relazione resta associata al nome canonico inglese della matrice.</x:v>
      </x:c>
    </x:row>
    <x:row r="18" ht="15" hidden="0" customHeight="1">
      <x:c r="A18" s="65" t="str">
        <x:v>chard</x:v>
      </x:c>
      <x:c r="B18" s="65" t="str">
        <x:v>Chard</x:v>
      </x:c>
      <x:c r="C18" s="65" t="str">
        <x:v>Bietola</x:v>
      </x:c>
      <x:c r="D18" s="65" t="str">
        <x:v>Coltura</x:v>
      </x:c>
      <x:c r="E18" s="65" t="str">
        <x:v>Matrice Consociazioni</x:v>
      </x:c>
      <x:c r="F18" s="65" t="str">
        <x:v>Traduzione italiana editoriale; la relazione resta associata al nome canonico inglese della matrice.</x:v>
      </x:c>
    </x:row>
    <x:row r="19" ht="15" hidden="0" customHeight="1">
      <x:c r="A19" s="65" t="str">
        <x:v>corn_maize</x:v>
      </x:c>
      <x:c r="B19" s="65" t="str">
        <x:v>Corn / Maize</x:v>
      </x:c>
      <x:c r="C19" s="65" t="str">
        <x:v>Mais</x:v>
      </x:c>
      <x:c r="D19" s="65" t="str">
        <x:v>Coltura</x:v>
      </x:c>
      <x:c r="E19" s="65" t="str">
        <x:v>Matrice Consociazioni</x:v>
      </x:c>
      <x:c r="F19" s="65" t="str">
        <x:v>Traduzione italiana editoriale; la relazione resta associata al nome canonico inglese della matrice.</x:v>
      </x:c>
    </x:row>
    <x:row r="20" ht="15" hidden="0" customHeight="1">
      <x:c r="A20" s="65" t="str">
        <x:v>cucumber</x:v>
      </x:c>
      <x:c r="B20" s="65" t="str">
        <x:v>Cucumber</x:v>
      </x:c>
      <x:c r="C20" s="65" t="str">
        <x:v>Cetriolo</x:v>
      </x:c>
      <x:c r="D20" s="65" t="str">
        <x:v>Coltura</x:v>
      </x:c>
      <x:c r="E20" s="65" t="str">
        <x:v>Matrice Consociazioni</x:v>
      </x:c>
      <x:c r="F20" s="65" t="str">
        <x:v>Traduzione italiana editoriale; la relazione resta associata al nome canonico inglese della matrice.</x:v>
      </x:c>
    </x:row>
    <x:row r="21" ht="15" hidden="0" customHeight="1">
      <x:c r="A21" s="65" t="str">
        <x:v>cucurbits</x:v>
      </x:c>
      <x:c r="B21" s="65" t="str">
        <x:v>Cucurbits</x:v>
      </x:c>
      <x:c r="C21" s="65" t="str">
        <x:v>Cucurbitacee (gruppo)</x:v>
      </x:c>
      <x:c r="D21" s="65" t="str">
        <x:v>Gruppo/famiglia</x:v>
      </x:c>
      <x:c r="E21" s="65" t="str">
        <x:v>Matrice Consociazioni</x:v>
      </x:c>
      <x:c r="F21" s="65" t="str">
        <x:v>Traduzione italiana editoriale; la relazione resta associata al nome canonico inglese della matrice.</x:v>
      </x:c>
    </x:row>
    <x:row r="22" ht="15" hidden="0" customHeight="1">
      <x:c r="A22" s="65" t="str">
        <x:v>eggplant_or_aubergine</x:v>
      </x:c>
      <x:c r="B22" s="65" t="str">
        <x:v>Eggplant or Aubergine</x:v>
      </x:c>
      <x:c r="C22" s="65" t="str">
        <x:v>Melanzana</x:v>
      </x:c>
      <x:c r="D22" s="65" t="str">
        <x:v>Coltura</x:v>
      </x:c>
      <x:c r="E22" s="65" t="str">
        <x:v>Matrice Consociazioni</x:v>
      </x:c>
      <x:c r="F22" s="65" t="str">
        <x:v>Traduzione italiana editoriale; la relazione resta associata al nome canonico inglese della matrice.</x:v>
      </x:c>
    </x:row>
    <x:row r="23" ht="15" hidden="0" customHeight="1">
      <x:c r="A23" s="65" t="str">
        <x:v>kohlrabi</x:v>
      </x:c>
      <x:c r="B23" s="65" t="str">
        <x:v>Kohlrabi</x:v>
      </x:c>
      <x:c r="C23" s="65" t="str">
        <x:v>Cavolo rapa</x:v>
      </x:c>
      <x:c r="D23" s="65" t="str">
        <x:v>Coltura</x:v>
      </x:c>
      <x:c r="E23" s="65" t="str">
        <x:v>Matrice Consociazioni</x:v>
      </x:c>
      <x:c r="F23" s="65" t="str">
        <x:v>Traduzione italiana editoriale; la relazione resta associata al nome canonico inglese della matrice.</x:v>
      </x:c>
    </x:row>
    <x:row r="24" ht="15" hidden="0" customHeight="1">
      <x:c r="A24" s="65" t="str">
        <x:v>leek</x:v>
      </x:c>
      <x:c r="B24" s="65" t="str">
        <x:v>Leek</x:v>
      </x:c>
      <x:c r="C24" s="65" t="str">
        <x:v>Porro</x:v>
      </x:c>
      <x:c r="D24" s="65" t="str">
        <x:v>Coltura</x:v>
      </x:c>
      <x:c r="E24" s="65" t="str">
        <x:v>Matrice Consociazioni</x:v>
      </x:c>
      <x:c r="F24" s="65" t="str">
        <x:v>Traduzione italiana editoriale; la relazione resta associata al nome canonico inglese della matrice.</x:v>
      </x:c>
    </x:row>
    <x:row r="25" ht="15" hidden="0" customHeight="1">
      <x:c r="A25" s="65" t="str">
        <x:v>legumes</x:v>
      </x:c>
      <x:c r="B25" s="65" t="str">
        <x:v>Legumes</x:v>
      </x:c>
      <x:c r="C25" s="65" t="str">
        <x:v>Leguminose (gruppo)</x:v>
      </x:c>
      <x:c r="D25" s="65" t="str">
        <x:v>Gruppo/famiglia</x:v>
      </x:c>
      <x:c r="E25" s="65" t="str">
        <x:v>Matrice Consociazioni</x:v>
      </x:c>
      <x:c r="F25" s="65" t="str">
        <x:v>Traduzione italiana editoriale; la relazione resta associata al nome canonico inglese della matrice.</x:v>
      </x:c>
    </x:row>
    <x:row r="26" ht="15" hidden="0" customHeight="1">
      <x:c r="A26" s="65" t="str">
        <x:v>lettuce</x:v>
      </x:c>
      <x:c r="B26" s="65" t="str">
        <x:v>Lettuce</x:v>
      </x:c>
      <x:c r="C26" s="65" t="str">
        <x:v>Lattuga</x:v>
      </x:c>
      <x:c r="D26" s="65" t="str">
        <x:v>Coltura</x:v>
      </x:c>
      <x:c r="E26" s="65" t="str">
        <x:v>Matrice Consociazioni</x:v>
      </x:c>
      <x:c r="F26" s="65" t="str">
        <x:v>Traduzione italiana editoriale; la relazione resta associata al nome canonico inglese della matrice.</x:v>
      </x:c>
    </x:row>
    <x:row r="27" ht="15" hidden="0" customHeight="1">
      <x:c r="A27" s="65" t="str">
        <x:v>mustard</x:v>
      </x:c>
      <x:c r="B27" s="65" t="str">
        <x:v>Mustard</x:v>
      </x:c>
      <x:c r="C27" s="65" t="str">
        <x:v>Senape</x:v>
      </x:c>
      <x:c r="D27" s="65" t="str">
        <x:v>Coltura</x:v>
      </x:c>
      <x:c r="E27" s="65" t="str">
        <x:v>Matrice Consociazioni</x:v>
      </x:c>
      <x:c r="F27" s="65" t="str">
        <x:v>Traduzione italiana editoriale; la relazione resta associata al nome canonico inglese della matrice.</x:v>
      </x:c>
    </x:row>
    <x:row r="28" ht="15" hidden="0" customHeight="1">
      <x:c r="A28" s="65" t="str">
        <x:v>nightshades</x:v>
      </x:c>
      <x:c r="B28" s="65" t="str">
        <x:v>Nightshades</x:v>
      </x:c>
      <x:c r="C28" s="65" t="str">
        <x:v>Solanacee (gruppo)</x:v>
      </x:c>
      <x:c r="D28" s="65" t="str">
        <x:v>Gruppo/famiglia</x:v>
      </x:c>
      <x:c r="E28" s="65" t="str">
        <x:v>Matrice Consociazioni</x:v>
      </x:c>
      <x:c r="F28" s="65" t="str">
        <x:v>Traduzione italiana editoriale; la relazione resta associata al nome canonico inglese della matrice.</x:v>
      </x:c>
    </x:row>
    <x:row r="29" ht="15" hidden="0" customHeight="1">
      <x:c r="A29" s="65" t="str">
        <x:v>okra</x:v>
      </x:c>
      <x:c r="B29" s="65" t="str">
        <x:v>Okra</x:v>
      </x:c>
      <x:c r="C29" s="65" t="str">
        <x:v>Okra</x:v>
      </x:c>
      <x:c r="D29" s="65" t="str">
        <x:v>Coltura</x:v>
      </x:c>
      <x:c r="E29" s="65" t="str">
        <x:v>Matrice Consociazioni</x:v>
      </x:c>
      <x:c r="F29" s="65" t="str">
        <x:v>Traduzione italiana editoriale; la relazione resta associata al nome canonico inglese della matrice.</x:v>
      </x:c>
    </x:row>
    <x:row r="30" ht="15" hidden="0" customHeight="1">
      <x:c r="A30" s="65" t="str">
        <x:v>onion</x:v>
      </x:c>
      <x:c r="B30" s="65" t="str">
        <x:v>Onion</x:v>
      </x:c>
      <x:c r="C30" s="65" t="str">
        <x:v>Cipolla</x:v>
      </x:c>
      <x:c r="D30" s="65" t="str">
        <x:v>Coltura</x:v>
      </x:c>
      <x:c r="E30" s="65" t="str">
        <x:v>Matrice Consociazioni</x:v>
      </x:c>
      <x:c r="F30" s="65" t="str">
        <x:v>Traduzione italiana editoriale; la relazione resta associata al nome canonico inglese della matrice.</x:v>
      </x:c>
    </x:row>
    <x:row r="31" ht="15" hidden="0" customHeight="1">
      <x:c r="A31" s="65" t="str">
        <x:v>parsnip</x:v>
      </x:c>
      <x:c r="B31" s="65" t="str">
        <x:v>Parsnip</x:v>
      </x:c>
      <x:c r="C31" s="65" t="str">
        <x:v>Pastinaca</x:v>
      </x:c>
      <x:c r="D31" s="65" t="str">
        <x:v>Coltura</x:v>
      </x:c>
      <x:c r="E31" s="65" t="str">
        <x:v>Matrice Consociazioni</x:v>
      </x:c>
      <x:c r="F31" s="65" t="str">
        <x:v>Traduzione italiana editoriale; la relazione resta associata al nome canonico inglese della matrice.</x:v>
      </x:c>
    </x:row>
    <x:row r="32" ht="15" hidden="0" customHeight="1">
      <x:c r="A32" s="65" t="str">
        <x:v>peas</x:v>
      </x:c>
      <x:c r="B32" s="65" t="str">
        <x:v>Peas</x:v>
      </x:c>
      <x:c r="C32" s="65" t="str">
        <x:v>Pisello</x:v>
      </x:c>
      <x:c r="D32" s="65" t="str">
        <x:v>Coltura</x:v>
      </x:c>
      <x:c r="E32" s="65" t="str">
        <x:v>Matrice Consociazioni</x:v>
      </x:c>
      <x:c r="F32" s="65" t="str">
        <x:v>Traduzione italiana editoriale; la relazione resta associata al nome canonico inglese della matrice.</x:v>
      </x:c>
    </x:row>
    <x:row r="33" ht="15" hidden="0" customHeight="1">
      <x:c r="A33" s="65" t="str">
        <x:v>peppers</x:v>
      </x:c>
      <x:c r="B33" s="65" t="str">
        <x:v>Peppers</x:v>
      </x:c>
      <x:c r="C33" s="65" t="str">
        <x:v>Peperone</x:v>
      </x:c>
      <x:c r="D33" s="65" t="str">
        <x:v>Coltura</x:v>
      </x:c>
      <x:c r="E33" s="65" t="str">
        <x:v>Matrice Consociazioni</x:v>
      </x:c>
      <x:c r="F33" s="65" t="str">
        <x:v>Traduzione italiana editoriale; la relazione resta associata al nome canonico inglese della matrice.</x:v>
      </x:c>
    </x:row>
    <x:row r="34" ht="15" hidden="0" customHeight="1">
      <x:c r="A34" s="65" t="str">
        <x:v>potato</x:v>
      </x:c>
      <x:c r="B34" s="65" t="str">
        <x:v>Potato</x:v>
      </x:c>
      <x:c r="C34" s="65" t="str">
        <x:v>Patata</x:v>
      </x:c>
      <x:c r="D34" s="65" t="str">
        <x:v>Coltura</x:v>
      </x:c>
      <x:c r="E34" s="65" t="str">
        <x:v>Matrice Consociazioni</x:v>
      </x:c>
      <x:c r="F34" s="65" t="str">
        <x:v>Traduzione italiana editoriale; la relazione resta associata al nome canonico inglese della matrice.</x:v>
      </x:c>
    </x:row>
    <x:row r="35" ht="15" hidden="0" customHeight="1">
      <x:c r="A35" s="65" t="str">
        <x:v>pumpkin</x:v>
      </x:c>
      <x:c r="B35" s="65" t="str">
        <x:v>Pumpkin</x:v>
      </x:c>
      <x:c r="C35" s="65" t="str">
        <x:v>Zucca</x:v>
      </x:c>
      <x:c r="D35" s="65" t="str">
        <x:v>Coltura</x:v>
      </x:c>
      <x:c r="E35" s="65" t="str">
        <x:v>Matrice Consociazioni</x:v>
      </x:c>
      <x:c r="F35" s="65" t="str">
        <x:v>Traduzione italiana editoriale; la relazione resta associata al nome canonico inglese della matrice.</x:v>
      </x:c>
    </x:row>
    <x:row r="36" ht="15" hidden="0" customHeight="1">
      <x:c r="A36" s="65" t="str">
        <x:v>radish</x:v>
      </x:c>
      <x:c r="B36" s="65" t="str">
        <x:v>Radish</x:v>
      </x:c>
      <x:c r="C36" s="65" t="str">
        <x:v>Ravanello</x:v>
      </x:c>
      <x:c r="D36" s="65" t="str">
        <x:v>Coltura</x:v>
      </x:c>
      <x:c r="E36" s="65" t="str">
        <x:v>Matrice Consociazioni</x:v>
      </x:c>
      <x:c r="F36" s="65" t="str">
        <x:v>Traduzione italiana editoriale; la relazione resta associata al nome canonico inglese della matrice.</x:v>
      </x:c>
    </x:row>
    <x:row r="37" ht="15" hidden="0" customHeight="1">
      <x:c r="A37" s="65" t="str">
        <x:v>soybean</x:v>
      </x:c>
      <x:c r="B37" s="65" t="str">
        <x:v>Soybean</x:v>
      </x:c>
      <x:c r="C37" s="65" t="str">
        <x:v>Soia</x:v>
      </x:c>
      <x:c r="D37" s="65" t="str">
        <x:v>Coltura</x:v>
      </x:c>
      <x:c r="E37" s="65" t="str">
        <x:v>Matrice Consociazioni</x:v>
      </x:c>
      <x:c r="F37" s="65" t="str">
        <x:v>Traduzione italiana editoriale; la relazione resta associata al nome canonico inglese della matrice.</x:v>
      </x:c>
    </x:row>
    <x:row r="38" ht="15" hidden="0" customHeight="1">
      <x:c r="A38" s="65" t="str">
        <x:v>spinach</x:v>
      </x:c>
      <x:c r="B38" s="65" t="str">
        <x:v>Spinach</x:v>
      </x:c>
      <x:c r="C38" s="65" t="str">
        <x:v>Spinacio</x:v>
      </x:c>
      <x:c r="D38" s="65" t="str">
        <x:v>Coltura</x:v>
      </x:c>
      <x:c r="E38" s="65" t="str">
        <x:v>Matrice Consociazioni</x:v>
      </x:c>
      <x:c r="F38" s="65" t="str">
        <x:v>Traduzione italiana editoriale; la relazione resta associata al nome canonico inglese della matrice.</x:v>
      </x:c>
    </x:row>
    <x:row r="39" ht="15" hidden="0" customHeight="1">
      <x:c r="A39" s="65" t="str">
        <x:v>squash</x:v>
      </x:c>
      <x:c r="B39" s="65" t="str">
        <x:v>Squash</x:v>
      </x:c>
      <x:c r="C39" s="65" t="str">
        <x:v>Zucchino / zucca estiva</x:v>
      </x:c>
      <x:c r="D39" s="65" t="str">
        <x:v>Coltura</x:v>
      </x:c>
      <x:c r="E39" s="65" t="str">
        <x:v>Matrice Consociazioni</x:v>
      </x:c>
      <x:c r="F39" s="65" t="str">
        <x:v>Traduzione italiana editoriale; la relazione resta associata al nome canonico inglese della matrice.</x:v>
      </x:c>
    </x:row>
    <x:row r="40" ht="15" hidden="0" customHeight="1">
      <x:c r="A40" s="65" t="str">
        <x:v>sweet_potato</x:v>
      </x:c>
      <x:c r="B40" s="65" t="str">
        <x:v>Sweet potato</x:v>
      </x:c>
      <x:c r="C40" s="65" t="str">
        <x:v>Patata dolce</x:v>
      </x:c>
      <x:c r="D40" s="65" t="str">
        <x:v>Coltura</x:v>
      </x:c>
      <x:c r="E40" s="65" t="str">
        <x:v>Matrice Consociazioni</x:v>
      </x:c>
      <x:c r="F40" s="65" t="str">
        <x:v>Traduzione italiana editoriale; la relazione resta associata al nome canonico inglese della matrice.</x:v>
      </x:c>
    </x:row>
    <x:row r="41" ht="15" hidden="0" customHeight="1">
      <x:c r="A41" s="65" t="str">
        <x:v>tomatoes</x:v>
      </x:c>
      <x:c r="B41" s="65" t="str">
        <x:v>Tomatoes</x:v>
      </x:c>
      <x:c r="C41" s="65" t="str">
        <x:v>Pomodoro</x:v>
      </x:c>
      <x:c r="D41" s="65" t="str">
        <x:v>Coltura</x:v>
      </x:c>
      <x:c r="E41" s="65" t="str">
        <x:v>Matrice Consociazioni</x:v>
      </x:c>
      <x:c r="F41" s="65" t="str">
        <x:v>Traduzione italiana editoriale; la relazione resta associata al nome canonico inglese della matrice.</x:v>
      </x:c>
    </x:row>
    <x:row r="42" ht="15" hidden="0" customHeight="1">
      <x:c r="A42" s="65" t="str">
        <x:v>turnips_and_rutabagas</x:v>
      </x:c>
      <x:c r="B42" s="65" t="str">
        <x:v>Turnips and rutabagas</x:v>
      </x:c>
      <x:c r="C42" s="65" t="str">
        <x:v>Rapa e rutabaga</x:v>
      </x:c>
      <x:c r="D42" s="65" t="str">
        <x:v>Coltura</x:v>
      </x:c>
      <x:c r="E42" s="65" t="str">
        <x:v>Matrice Consociazioni</x:v>
      </x:c>
      <x:c r="F42" s="65" t="str">
        <x:v>Traduzione italiana editoriale; la relazione resta associata al nome canonico inglese della matrice.</x:v>
      </x:c>
    </x:row>
    <x:row r="43" ht="15" hidden="0" customHeight="1">
      <x:c r="A43" s="65" t="str">
        <x:v>basil</x:v>
      </x:c>
      <x:c r="B43" s="65" t="str">
        <x:v>Basil</x:v>
      </x:c>
      <x:c r="C43" s="65" t="str">
        <x:v>Basilico</x:v>
      </x:c>
      <x:c r="D43" s="65" t="str">
        <x:v>Coltura</x:v>
      </x:c>
      <x:c r="E43" s="65" t="str">
        <x:v>Matrice Consociazioni</x:v>
      </x:c>
      <x:c r="F43" s="65" t="str">
        <x:v>Traduzione italiana editoriale; la relazione resta associata al nome canonico inglese della matrice.</x:v>
      </x:c>
    </x:row>
    <x:row r="44" ht="15" hidden="0" customHeight="1">
      <x:c r="A44" s="65" t="str">
        <x:v>artichoke</x:v>
      </x:c>
      <x:c r="B44" s="65" t="str">
        <x:v>Artichoke</x:v>
      </x:c>
      <x:c r="C44" s="65" t="str">
        <x:v>Carciofo</x:v>
      </x:c>
      <x:c r="D44" s="65" t="str">
        <x:v>Coltura</x:v>
      </x:c>
      <x:c r="E44" s="65" t="str">
        <x:v>Matrice Consociazioni</x:v>
      </x:c>
      <x:c r="F44" s="65" t="str">
        <x:v>Traduzione italiana editoriale; la relazione resta associata al nome canonico inglese della matrice.</x:v>
      </x:c>
    </x:row>
    <x:row r="45" ht="15" hidden="0" customHeight="1">
      <x:c r="A45" s="65" t="str">
        <x:v>cardoon</x:v>
      </x:c>
      <x:c r="B45" s="65" t="str">
        <x:v>Cardoon</x:v>
      </x:c>
      <x:c r="C45" s="65" t="str">
        <x:v>Cardo</x:v>
      </x:c>
      <x:c r="D45" s="65" t="str">
        <x:v>Coltura</x:v>
      </x:c>
      <x:c r="E45" s="65" t="str">
        <x:v>Matrice Consociazioni</x:v>
      </x:c>
      <x:c r="F45" s="65" t="str">
        <x:v>Traduzione italiana editoriale; la relazione resta associata al nome canonico inglese della matrice.</x:v>
      </x:c>
    </x:row>
    <x:row r="46" ht="15" hidden="0" customHeight="1">
      <x:c r="A46" s="65" t="str">
        <x:v>chicory</x:v>
      </x:c>
      <x:c r="B46" s="65" t="str">
        <x:v>Chicory</x:v>
      </x:c>
      <x:c r="C46" s="65" t="str">
        <x:v>Cicoria</x:v>
      </x:c>
      <x:c r="D46" s="65" t="str">
        <x:v>Coltura</x:v>
      </x:c>
      <x:c r="E46" s="65" t="str">
        <x:v>Matrice Consociazioni</x:v>
      </x:c>
      <x:c r="F46" s="65" t="str">
        <x:v>Traduzione italiana editoriale; la relazione resta associata al nome canonico inglese della matrice.</x:v>
      </x:c>
    </x:row>
    <x:row r="47" ht="15" hidden="0" customHeight="1">
      <x:c r="A47" s="65" t="str">
        <x:v>endive</x:v>
      </x:c>
      <x:c r="B47" s="65" t="str">
        <x:v>Endive</x:v>
      </x:c>
      <x:c r="C47" s="65" t="str">
        <x:v>Indivia e scarola</x:v>
      </x:c>
      <x:c r="D47" s="65" t="str">
        <x:v>Coltura</x:v>
      </x:c>
      <x:c r="E47" s="65" t="str">
        <x:v>Matrice Consociazioni</x:v>
      </x:c>
      <x:c r="F47" s="65" t="str">
        <x:v>Traduzione italiana editoriale; la relazione resta associata al nome canonico inglese della matrice.</x:v>
      </x:c>
    </x:row>
    <x:row r="48" ht="15" hidden="0" customHeight="1">
      <x:c r="A48" s="65" t="str">
        <x:v>fennel</x:v>
      </x:c>
      <x:c r="B48" s="65" t="str">
        <x:v>Fennel</x:v>
      </x:c>
      <x:c r="C48" s="65" t="str">
        <x:v>Finocchio</x:v>
      </x:c>
      <x:c r="D48" s="65" t="str">
        <x:v>Coltura</x:v>
      </x:c>
      <x:c r="E48" s="65" t="str">
        <x:v>Matrice Consociazioni</x:v>
      </x:c>
      <x:c r="F48" s="65" t="str">
        <x:v>Traduzione italiana editoriale; la relazione resta associata al nome canonico inglese della matrice.</x:v>
      </x:c>
    </x:row>
    <x:row r="49" ht="15" hidden="0" customHeight="1">
      <x:c r="A49" s="65" t="str">
        <x:v>strawberry</x:v>
      </x:c>
      <x:c r="B49" s="65" t="str">
        <x:v>Strawberry</x:v>
      </x:c>
      <x:c r="C49" s="65" t="str">
        <x:v>Fragola</x:v>
      </x:c>
      <x:c r="D49" s="65" t="str">
        <x:v>Coltura</x:v>
      </x:c>
      <x:c r="E49" s="65" t="str">
        <x:v>Matrice Consociazioni</x:v>
      </x:c>
      <x:c r="F49" s="65" t="str">
        <x:v>Traduzione italiana editoriale; la relazione resta associata al nome canonico inglese della matrice.</x:v>
      </x:c>
    </x:row>
    <x:row r="50" ht="15" hidden="0" customHeight="1">
      <x:c r="A50" s="65" t="str">
        <x:v>melon</x:v>
      </x:c>
      <x:c r="B50" s="65" t="str">
        <x:v>Melon</x:v>
      </x:c>
      <x:c r="C50" s="65" t="str">
        <x:v>Melone</x:v>
      </x:c>
      <x:c r="D50" s="65" t="str">
        <x:v>Coltura</x:v>
      </x:c>
      <x:c r="E50" s="65" t="str">
        <x:v>Matrice Consociazioni</x:v>
      </x:c>
      <x:c r="F50" s="65" t="str">
        <x:v>Traduzione italiana editoriale; la relazione resta associata al nome canonico inglese della matrice.</x:v>
      </x:c>
    </x:row>
    <x:row r="51" ht="15" hidden="0" customHeight="1">
      <x:c r="A51" s="65" t="str">
        <x:v>parsley</x:v>
      </x:c>
      <x:c r="B51" s="65" t="str">
        <x:v>Parsley</x:v>
      </x:c>
      <x:c r="C51" s="65" t="str">
        <x:v>Prezzemolo</x:v>
      </x:c>
      <x:c r="D51" s="65" t="str">
        <x:v>Coltura</x:v>
      </x:c>
      <x:c r="E51" s="65" t="str">
        <x:v>Matrice Consociazioni</x:v>
      </x:c>
      <x:c r="F51" s="65" t="str">
        <x:v>Traduzione italiana editoriale; la relazione resta associata al nome canonico inglese della matrice.</x:v>
      </x:c>
    </x:row>
    <x:row r="52" ht="15" hidden="0" customHeight="1">
      <x:c r="A52" s="65" t="str">
        <x:v>arugula</x:v>
      </x:c>
      <x:c r="B52" s="65" t="str">
        <x:v>Arugula</x:v>
      </x:c>
      <x:c r="C52" s="65" t="str">
        <x:v>Rucola</x:v>
      </x:c>
      <x:c r="D52" s="65" t="str">
        <x:v>Coltura</x:v>
      </x:c>
      <x:c r="E52" s="65" t="str">
        <x:v>Matrice Consociazioni</x:v>
      </x:c>
      <x:c r="F52" s="65" t="str">
        <x:v>Traduzione italiana editoriale; la relazione resta associata al nome canonico inglese della matrice.</x:v>
      </x:c>
    </x:row>
    <x:row r="53" ht="15" hidden="0" customHeight="1">
      <x:c r="A53" s="65" t="str">
        <x:v>corn_salad</x:v>
      </x:c>
      <x:c r="B53" s="65" t="str">
        <x:v>Corn salad</x:v>
      </x:c>
      <x:c r="C53" s="65" t="str">
        <x:v>Valeriana</x:v>
      </x:c>
      <x:c r="D53" s="65" t="str">
        <x:v>Coltura</x:v>
      </x:c>
      <x:c r="E53" s="65" t="str">
        <x:v>Matrice Consociazioni</x:v>
      </x:c>
      <x:c r="F53" s="65" t="str">
        <x:v>Traduzione italiana editoriale; la relazione resta associata al nome canonico inglese della matrice.</x:v>
      </x:c>
    </x:row>
    <x:row r="54" ht="15" hidden="0" customHeight="1">
      <x:c r="A54" s="65" t="str">
        <x:v>watermelon</x:v>
      </x:c>
      <x:c r="B54" s="65" t="str">
        <x:v>Watermelon</x:v>
      </x:c>
      <x:c r="C54" s="65" t="str">
        <x:v>Anguria</x:v>
      </x:c>
      <x:c r="D54" s="65" t="str">
        <x:v>Coltura</x:v>
      </x:c>
      <x:c r="E54" s="65" t="str">
        <x:v>Matrice Consociazioni</x:v>
      </x:c>
      <x:c r="F54" s="65" t="str">
        <x:v>Traduzione italiana editoriale; la relazione resta associata al nome canonico inglese della matrice.</x:v>
      </x:c>
    </x:row>
  </x:sheetData>
  <x:mergeCells>
    <x:mergeCell ref="A1:F1"/>
    <x:mergeCell ref="A2:F2"/>
  </x:mergeCells>
  <x:pageMargins left="0.7" right="0.7" top="0.75" bottom="0.75" header="0.3" footer="0.3"/>
  <x:tableParts count="1">
    <x:tablePart xmlns:r="http://schemas.openxmlformats.org/officeDocument/2006/relationships" r:id="Rc9377fe11aad466e"/>
  </x:tableParts>
</x:worksheet>
</file>

<file path=xl/worksheets/sheet7.xml><?xml version="1.0" encoding="utf-8"?>
<x:worksheet xmlns:x="http://schemas.openxmlformats.org/spreadsheetml/2006/main">
  <x:sheetFormatPr defaultRowHeight="15"/>
  <x:cols>
    <x:col min="1" max="1" width="36" hidden="0" customWidth="1"/>
    <x:col min="2" max="2" width="23" hidden="0" customWidth="1"/>
    <x:col min="3" max="3" width="26" hidden="0" customWidth="1"/>
    <x:col min="4" max="4" width="24" hidden="0" customWidth="1"/>
    <x:col min="5" max="5" width="23" hidden="0" customWidth="1"/>
    <x:col min="6" max="6" width="26" hidden="0" customWidth="1"/>
    <x:col min="7" max="7" width="24" hidden="0" customWidth="1"/>
    <x:col min="8" max="8" width="10" hidden="0" customWidth="1"/>
    <x:col min="9" max="9" width="22" hidden="0" customWidth="1"/>
    <x:col min="10" max="10" width="22" hidden="0" customWidth="1"/>
    <x:col min="11" max="11" width="46" hidden="0" customWidth="1"/>
    <x:col min="12" max="12" width="32" hidden="0" customWidth="1"/>
    <x:col min="13" max="13" width="46" hidden="0" customWidth="1"/>
    <x:col min="14" max="14" width="55" hidden="0" customWidth="1"/>
  </x:cols>
  <x:sheetData>
    <x:row r="1" ht="18" hidden="0" customHeight="1">
      <x:c r="A1" s="42" t="str">
        <x:v>Relazioni normalizzate</x:v>
      </x:c>
      <x:c r="B1" s="42"/>
      <x:c r="C1" s="42"/>
      <x:c r="D1" s="42"/>
      <x:c r="E1" s="42"/>
      <x:c r="F1" s="42"/>
      <x:c r="G1" s="42"/>
      <x:c r="H1" s="42"/>
      <x:c r="I1" s="42"/>
      <x:c r="J1" s="42"/>
      <x:c r="K1" s="42"/>
      <x:c r="L1" s="42"/>
      <x:c r="M1" s="42"/>
      <x:c r="N1" s="42"/>
    </x:row>
    <x:row r="2" ht="15" hidden="0" customHeight="1">
      <x:c r="A2" s="49" t="str">
        <x:v>Una riga per ogni coppia non vuota della matrice. B, C e M restano giudizi della fonte; l'app li usa con prudenza e non come verità scientifiche assolute.</x:v>
      </x:c>
      <x:c r="B2" s="49"/>
      <x:c r="C2" s="49"/>
      <x:c r="D2" s="49"/>
      <x:c r="E2" s="49"/>
      <x:c r="F2" s="49"/>
      <x:c r="G2" s="49"/>
      <x:c r="H2" s="49"/>
      <x:c r="I2" s="49"/>
      <x:c r="J2" s="49"/>
      <x:c r="K2" s="49"/>
      <x:c r="L2" s="49"/>
      <x:c r="M2" s="49"/>
      <x:c r="N2" s="49"/>
    </x:row>
    <x:row r="3"/>
    <x:row r="4" ht="15" hidden="0" customHeight="1">
      <x:c r="A4" s="58" t="str">
        <x:v>Relazione_ID</x:v>
      </x:c>
      <x:c r="B4" s="58" t="str">
        <x:v>Entita1_ID</x:v>
      </x:c>
      <x:c r="C4" s="58" t="str">
        <x:v>Entita1_IT</x:v>
      </x:c>
      <x:c r="D4" s="58" t="str">
        <x:v>Entita1_EN</x:v>
      </x:c>
      <x:c r="E4" s="58" t="str">
        <x:v>Entita2_ID</x:v>
      </x:c>
      <x:c r="F4" s="58" t="str">
        <x:v>Entita2_IT</x:v>
      </x:c>
      <x:c r="G4" s="58" t="str">
        <x:v>Entita2_EN</x:v>
      </x:c>
      <x:c r="H4" s="58" t="str">
        <x:v>Codice</x:v>
      </x:c>
      <x:c r="I4" s="58" t="str">
        <x:v>Valutazione</x:v>
      </x:c>
      <x:c r="J4" s="58" t="str">
        <x:v>Direzione conservata</x:v>
      </x:c>
      <x:c r="K4" s="58" t="str">
        <x:v>Fonte attribuita</x:v>
      </x:c>
      <x:c r="L4" s="58" t="str">
        <x:v>Livello evidenza nel file</x:v>
      </x:c>
      <x:c r="M4" s="58" t="str">
        <x:v>Uso nell'app</x:v>
      </x:c>
      <x:c r="N4" s="58" t="str">
        <x:v>Nota direzionalità</x:v>
      </x:c>
    </x:row>
    <x:row r="5" ht="15" hidden="0" customHeight="1">
      <x:c r="A5" s="65" t="str">
        <x:v>alliums__asparagus</x:v>
      </x:c>
      <x:c r="B5" s="65" t="str">
        <x:v>alliums</x:v>
      </x:c>
      <x:c r="C5" s="65" t="str">
        <x:v>Allium (gruppo)</x:v>
      </x:c>
      <x:c r="D5" s="65" t="str">
        <x:v>Alliums</x:v>
      </x:c>
      <x:c r="E5" s="65" t="str">
        <x:v>asparagus</x:v>
      </x:c>
      <x:c r="F5" s="65" t="str">
        <x:v>Asparago</x:v>
      </x:c>
      <x:c r="G5" s="65" t="str">
        <x:v>Asparagus</x:v>
      </x:c>
      <x:c r="H5" s="65" t="str">
        <x:v>C</x:v>
      </x:c>
      <x:c r="I5" s="65" t="str">
        <x:v>Da evitare</x:v>
      </x:c>
      <x:c r="J5" s="65" t="str">
        <x:v>Simmetrica nella matrice</x:v>
      </x:c>
      <x:c r="K5" s="65" t="str">
        <x:v>GitHub/Wikipedia (Orto Mio riporta soltanto relazioni favorevoli)</x:v>
      </x:c>
      <x:c r="L5" s="65" t="str">
        <x:v>Non classificata scientificamente nel file</x:v>
      </x:c>
      <x:c r="M5" s="65" t="str">
        <x:v>Avviso forte; non divieto assoluto</x:v>
      </x:c>
      <x:c r="N5" s="65" t="str">
        <x:v>La matrice non conserva la direzione originaria Helps/Helped by del dataset GitHub.</x:v>
      </x:c>
    </x:row>
    <x:row r="6" ht="15" hidden="0" customHeight="1">
      <x:c r="A6" s="65" t="str">
        <x:v>alliums__beets</x:v>
      </x:c>
      <x:c r="B6" s="65" t="str">
        <x:v>alliums</x:v>
      </x:c>
      <x:c r="C6" s="65" t="str">
        <x:v>Allium (gruppo)</x:v>
      </x:c>
      <x:c r="D6" s="65" t="str">
        <x:v>Alliums</x:v>
      </x:c>
      <x:c r="E6" s="65" t="str">
        <x:v>beets</x:v>
      </x:c>
      <x:c r="F6" s="65" t="str">
        <x:v>Barbabietola</x:v>
      </x:c>
      <x:c r="G6" s="65" t="str">
        <x:v>Beets</x:v>
      </x:c>
      <x:c r="H6" s="65" t="str">
        <x:v>B</x:v>
      </x:c>
      <x:c r="I6" s="65" t="str">
        <x:v>Favorevole</x:v>
      </x:c>
      <x:c r="J6" s="65" t="str">
        <x:v>Simmetrica nella matrice</x:v>
      </x:c>
      <x:c r="K6" s="65" t="str">
        <x:v>Matrice integrata GitHub/Wikipedia e/o Orto Mio</x:v>
      </x:c>
      <x:c r="L6" s="65" t="str">
        <x:v>Non classificata scientificamente nel file</x:v>
      </x:c>
      <x:c r="M6" s="65" t="str">
        <x:v>Preferenza agronomica; non vincolo rigido</x:v>
      </x:c>
      <x:c r="N6" s="65" t="str">
        <x:v>La matrice non conserva la direzione originaria Helps/Helped by del dataset GitHub.</x:v>
      </x:c>
    </x:row>
    <x:row r="7" ht="15" hidden="0" customHeight="1">
      <x:c r="A7" s="65" t="str">
        <x:v>alliums__brassicas</x:v>
      </x:c>
      <x:c r="B7" s="65" t="str">
        <x:v>alliums</x:v>
      </x:c>
      <x:c r="C7" s="65" t="str">
        <x:v>Allium (gruppo)</x:v>
      </x:c>
      <x:c r="D7" s="65" t="str">
        <x:v>Alliums</x:v>
      </x:c>
      <x:c r="E7" s="65" t="str">
        <x:v>brassicas</x:v>
      </x:c>
      <x:c r="F7" s="65" t="str">
        <x:v>Brassicacee (gruppo)</x:v>
      </x:c>
      <x:c r="G7" s="65" t="str">
        <x:v>Brassicas</x:v>
      </x:c>
      <x:c r="H7" s="65" t="str">
        <x:v>B</x:v>
      </x:c>
      <x:c r="I7" s="65" t="str">
        <x:v>Favorevole</x:v>
      </x:c>
      <x:c r="J7" s="65" t="str">
        <x:v>Simmetrica nella matrice</x:v>
      </x:c>
      <x:c r="K7" s="65" t="str">
        <x:v>Matrice integrata GitHub/Wikipedia e/o Orto Mio</x:v>
      </x:c>
      <x:c r="L7" s="65" t="str">
        <x:v>Non classificata scientificamente nel file</x:v>
      </x:c>
      <x:c r="M7" s="65" t="str">
        <x:v>Preferenza agronomica; non vincolo rigido</x:v>
      </x:c>
      <x:c r="N7" s="65" t="str">
        <x:v>La matrice non conserva la direzione originaria Helps/Helped by del dataset GitHub.</x:v>
      </x:c>
    </x:row>
    <x:row r="8" ht="15" hidden="0" customHeight="1">
      <x:c r="A8" s="65" t="str">
        <x:v>alliums__carrots</x:v>
      </x:c>
      <x:c r="B8" s="65" t="str">
        <x:v>alliums</x:v>
      </x:c>
      <x:c r="C8" s="65" t="str">
        <x:v>Allium (gruppo)</x:v>
      </x:c>
      <x:c r="D8" s="65" t="str">
        <x:v>Alliums</x:v>
      </x:c>
      <x:c r="E8" s="65" t="str">
        <x:v>carrots</x:v>
      </x:c>
      <x:c r="F8" s="65" t="str">
        <x:v>Carota</x:v>
      </x:c>
      <x:c r="G8" s="65" t="str">
        <x:v>Carrots</x:v>
      </x:c>
      <x:c r="H8" s="65" t="str">
        <x:v>B</x:v>
      </x:c>
      <x:c r="I8" s="65" t="str">
        <x:v>Favorevole</x:v>
      </x:c>
      <x:c r="J8" s="65" t="str">
        <x:v>Simmetrica nella matrice</x:v>
      </x:c>
      <x:c r="K8" s="65" t="str">
        <x:v>Orto Mio; possibile presenza anche nel dataset GitHub/Wikipedia</x:v>
      </x:c>
      <x:c r="L8" s="65" t="str">
        <x:v>Non classificata scientificamente nel file</x:v>
      </x:c>
      <x:c r="M8" s="65" t="str">
        <x:v>Preferenza agronomica; non vincolo rigido</x:v>
      </x:c>
      <x:c r="N8" s="65" t="str">
        <x:v>La matrice non conserva la direzione originaria Helps/Helped by del dataset GitHub.</x:v>
      </x:c>
    </x:row>
    <x:row r="9" ht="15" hidden="0" customHeight="1">
      <x:c r="A9" s="65" t="str">
        <x:v>alliums__cucumber</x:v>
      </x:c>
      <x:c r="B9" s="65" t="str">
        <x:v>alliums</x:v>
      </x:c>
      <x:c r="C9" s="65" t="str">
        <x:v>Allium (gruppo)</x:v>
      </x:c>
      <x:c r="D9" s="65" t="str">
        <x:v>Alliums</x:v>
      </x:c>
      <x:c r="E9" s="65" t="str">
        <x:v>cucumber</x:v>
      </x:c>
      <x:c r="F9" s="65" t="str">
        <x:v>Cetriolo</x:v>
      </x:c>
      <x:c r="G9" s="65" t="str">
        <x:v>Cucumber</x:v>
      </x:c>
      <x:c r="H9" s="65" t="str">
        <x:v>B</x:v>
      </x:c>
      <x:c r="I9" s="65" t="str">
        <x:v>Favorevole</x:v>
      </x:c>
      <x:c r="J9" s="65" t="str">
        <x:v>Simmetrica nella matrice</x:v>
      </x:c>
      <x:c r="K9" s="65" t="str">
        <x:v>Matrice integrata GitHub/Wikipedia e/o Orto Mio</x:v>
      </x:c>
      <x:c r="L9" s="65" t="str">
        <x:v>Non classificata scientificamente nel file</x:v>
      </x:c>
      <x:c r="M9" s="65" t="str">
        <x:v>Preferenza agronomica; non vincolo rigido</x:v>
      </x:c>
      <x:c r="N9" s="65" t="str">
        <x:v>La matrice non conserva la direzione originaria Helps/Helped by del dataset GitHub.</x:v>
      </x:c>
    </x:row>
    <x:row r="10" ht="15" hidden="0" customHeight="1">
      <x:c r="A10" s="65" t="str">
        <x:v>alliums__legumes</x:v>
      </x:c>
      <x:c r="B10" s="65" t="str">
        <x:v>alliums</x:v>
      </x:c>
      <x:c r="C10" s="65" t="str">
        <x:v>Allium (gruppo)</x:v>
      </x:c>
      <x:c r="D10" s="65" t="str">
        <x:v>Alliums</x:v>
      </x:c>
      <x:c r="E10" s="65" t="str">
        <x:v>legumes</x:v>
      </x:c>
      <x:c r="F10" s="65" t="str">
        <x:v>Leguminose (gruppo)</x:v>
      </x:c>
      <x:c r="G10" s="65" t="str">
        <x:v>Legumes</x:v>
      </x:c>
      <x:c r="H10" s="65" t="str">
        <x:v>C</x:v>
      </x:c>
      <x:c r="I10" s="65" t="str">
        <x:v>Da evitare</x:v>
      </x:c>
      <x:c r="J10" s="65" t="str">
        <x:v>Simmetrica nella matrice</x:v>
      </x:c>
      <x:c r="K10" s="65" t="str">
        <x:v>GitHub/Wikipedia (Orto Mio riporta soltanto relazioni favorevoli)</x:v>
      </x:c>
      <x:c r="L10" s="65" t="str">
        <x:v>Non classificata scientificamente nel file</x:v>
      </x:c>
      <x:c r="M10" s="65" t="str">
        <x:v>Avviso forte; non divieto assoluto</x:v>
      </x:c>
      <x:c r="N10" s="65" t="str">
        <x:v>La matrice non conserva la direzione originaria Helps/Helped by del dataset GitHub.</x:v>
      </x:c>
    </x:row>
    <x:row r="11" ht="15" hidden="0" customHeight="1">
      <x:c r="A11" s="65" t="str">
        <x:v>alliums__lettuce</x:v>
      </x:c>
      <x:c r="B11" s="65" t="str">
        <x:v>alliums</x:v>
      </x:c>
      <x:c r="C11" s="65" t="str">
        <x:v>Allium (gruppo)</x:v>
      </x:c>
      <x:c r="D11" s="65" t="str">
        <x:v>Alliums</x:v>
      </x:c>
      <x:c r="E11" s="65" t="str">
        <x:v>lettuce</x:v>
      </x:c>
      <x:c r="F11" s="65" t="str">
        <x:v>Lattuga</x:v>
      </x:c>
      <x:c r="G11" s="65" t="str">
        <x:v>Lettuce</x:v>
      </x:c>
      <x:c r="H11" s="65" t="str">
        <x:v>B</x:v>
      </x:c>
      <x:c r="I11" s="65" t="str">
        <x:v>Favorevole</x:v>
      </x:c>
      <x:c r="J11" s="65" t="str">
        <x:v>Simmetrica nella matrice</x:v>
      </x:c>
      <x:c r="K11" s="65" t="str">
        <x:v>Orto Mio; possibile presenza anche nel dataset GitHub/Wikipedia</x:v>
      </x:c>
      <x:c r="L11" s="65" t="str">
        <x:v>Non classificata scientificamente nel file</x:v>
      </x:c>
      <x:c r="M11" s="65" t="str">
        <x:v>Preferenza agronomica; non vincolo rigido</x:v>
      </x:c>
      <x:c r="N11" s="65" t="str">
        <x:v>La matrice non conserva la direzione originaria Helps/Helped by del dataset GitHub.</x:v>
      </x:c>
    </x:row>
    <x:row r="12" ht="15" hidden="0" customHeight="1">
      <x:c r="A12" s="65" t="str">
        <x:v>alliums__nightshades</x:v>
      </x:c>
      <x:c r="B12" s="65" t="str">
        <x:v>alliums</x:v>
      </x:c>
      <x:c r="C12" s="65" t="str">
        <x:v>Allium (gruppo)</x:v>
      </x:c>
      <x:c r="D12" s="65" t="str">
        <x:v>Alliums</x:v>
      </x:c>
      <x:c r="E12" s="65" t="str">
        <x:v>nightshades</x:v>
      </x:c>
      <x:c r="F12" s="65" t="str">
        <x:v>Solanacee (gruppo)</x:v>
      </x:c>
      <x:c r="G12" s="65" t="str">
        <x:v>Nightshades</x:v>
      </x:c>
      <x:c r="H12" s="65" t="str">
        <x:v>B</x:v>
      </x:c>
      <x:c r="I12" s="65" t="str">
        <x:v>Favorevole</x:v>
      </x:c>
      <x:c r="J12" s="65" t="str">
        <x:v>Simmetrica nella matrice</x:v>
      </x:c>
      <x:c r="K12" s="65" t="str">
        <x:v>Matrice integrata GitHub/Wikipedia e/o Orto Mio</x:v>
      </x:c>
      <x:c r="L12" s="65" t="str">
        <x:v>Non classificata scientificamente nel file</x:v>
      </x:c>
      <x:c r="M12" s="65" t="str">
        <x:v>Preferenza agronomica; non vincolo rigido</x:v>
      </x:c>
      <x:c r="N12" s="65" t="str">
        <x:v>La matrice non conserva la direzione originaria Helps/Helped by del dataset GitHub.</x:v>
      </x:c>
    </x:row>
    <x:row r="13" ht="15" hidden="0" customHeight="1">
      <x:c r="A13" s="65" t="str">
        <x:v>alliums__peas</x:v>
      </x:c>
      <x:c r="B13" s="65" t="str">
        <x:v>alliums</x:v>
      </x:c>
      <x:c r="C13" s="65" t="str">
        <x:v>Allium (gruppo)</x:v>
      </x:c>
      <x:c r="D13" s="65" t="str">
        <x:v>Alliums</x:v>
      </x:c>
      <x:c r="E13" s="65" t="str">
        <x:v>peas</x:v>
      </x:c>
      <x:c r="F13" s="65" t="str">
        <x:v>Pisello</x:v>
      </x:c>
      <x:c r="G13" s="65" t="str">
        <x:v>Peas</x:v>
      </x:c>
      <x:c r="H13" s="65" t="str">
        <x:v>M</x:v>
      </x:c>
      <x:c r="I13" s="65" t="str">
        <x:v>Mista / fonti discordanti</x:v>
      </x:c>
      <x:c r="J13" s="65" t="str">
        <x:v>Simmetrica nella matrice</x:v>
      </x:c>
      <x:c r="K13" s="65" t="str">
        <x:v>GitHub/Wikipedia + Orto Mio (fonti discordanti)</x:v>
      </x:c>
      <x:c r="L13" s="65" t="str">
        <x:v>Non classificata scientificamente nel file</x:v>
      </x:c>
      <x:c r="M13" s="65" t="str">
        <x:v>Solo informativa; non usare per la disposizione automatica</x:v>
      </x:c>
      <x:c r="N13" s="65" t="str">
        <x:v>La matrice non conserva la direzione originaria Helps/Helped by del dataset GitHub.</x:v>
      </x:c>
    </x:row>
    <x:row r="14" ht="15" hidden="0" customHeight="1">
      <x:c r="A14" s="65" t="str">
        <x:v>alliums__peppers</x:v>
      </x:c>
      <x:c r="B14" s="65" t="str">
        <x:v>alliums</x:v>
      </x:c>
      <x:c r="C14" s="65" t="str">
        <x:v>Allium (gruppo)</x:v>
      </x:c>
      <x:c r="D14" s="65" t="str">
        <x:v>Alliums</x:v>
      </x:c>
      <x:c r="E14" s="65" t="str">
        <x:v>peppers</x:v>
      </x:c>
      <x:c r="F14" s="65" t="str">
        <x:v>Peperone</x:v>
      </x:c>
      <x:c r="G14" s="65" t="str">
        <x:v>Peppers</x:v>
      </x:c>
      <x:c r="H14" s="65" t="str">
        <x:v>B</x:v>
      </x:c>
      <x:c r="I14" s="65" t="str">
        <x:v>Favorevole</x:v>
      </x:c>
      <x:c r="J14" s="65" t="str">
        <x:v>Simmetrica nella matrice</x:v>
      </x:c>
      <x:c r="K14" s="65" t="str">
        <x:v>Matrice integrata GitHub/Wikipedia e/o Orto Mio</x:v>
      </x:c>
      <x:c r="L14" s="65" t="str">
        <x:v>Non classificata scientificamente nel file</x:v>
      </x:c>
      <x:c r="M14" s="65" t="str">
        <x:v>Preferenza agronomica; non vincolo rigido</x:v>
      </x:c>
      <x:c r="N14" s="65" t="str">
        <x:v>La matrice non conserva la direzione originaria Helps/Helped by del dataset GitHub.</x:v>
      </x:c>
    </x:row>
    <x:row r="15" ht="15" hidden="0" customHeight="1">
      <x:c r="A15" s="65" t="str">
        <x:v>alliums__potato</x:v>
      </x:c>
      <x:c r="B15" s="65" t="str">
        <x:v>alliums</x:v>
      </x:c>
      <x:c r="C15" s="65" t="str">
        <x:v>Allium (gruppo)</x:v>
      </x:c>
      <x:c r="D15" s="65" t="str">
        <x:v>Alliums</x:v>
      </x:c>
      <x:c r="E15" s="65" t="str">
        <x:v>potato</x:v>
      </x:c>
      <x:c r="F15" s="65" t="str">
        <x:v>Patata</x:v>
      </x:c>
      <x:c r="G15" s="65" t="str">
        <x:v>Potato</x:v>
      </x:c>
      <x:c r="H15" s="65" t="str">
        <x:v>B</x:v>
      </x:c>
      <x:c r="I15" s="65" t="str">
        <x:v>Favorevole</x:v>
      </x:c>
      <x:c r="J15" s="65" t="str">
        <x:v>Simmetrica nella matrice</x:v>
      </x:c>
      <x:c r="K15" s="65" t="str">
        <x:v>Matrice integrata GitHub/Wikipedia e/o Orto Mio</x:v>
      </x:c>
      <x:c r="L15" s="65" t="str">
        <x:v>Non classificata scientificamente nel file</x:v>
      </x:c>
      <x:c r="M15" s="65" t="str">
        <x:v>Preferenza agronomica; non vincolo rigido</x:v>
      </x:c>
      <x:c r="N15" s="65" t="str">
        <x:v>La matrice non conserva la direzione originaria Helps/Helped by del dataset GitHub.</x:v>
      </x:c>
    </x:row>
    <x:row r="16" ht="15" hidden="0" customHeight="1">
      <x:c r="A16" s="65" t="str">
        <x:v>alliums__tomatoes</x:v>
      </x:c>
      <x:c r="B16" s="65" t="str">
        <x:v>alliums</x:v>
      </x:c>
      <x:c r="C16" s="65" t="str">
        <x:v>Allium (gruppo)</x:v>
      </x:c>
      <x:c r="D16" s="65" t="str">
        <x:v>Alliums</x:v>
      </x:c>
      <x:c r="E16" s="65" t="str">
        <x:v>tomatoes</x:v>
      </x:c>
      <x:c r="F16" s="65" t="str">
        <x:v>Pomodoro</x:v>
      </x:c>
      <x:c r="G16" s="65" t="str">
        <x:v>Tomatoes</x:v>
      </x:c>
      <x:c r="H16" s="65" t="str">
        <x:v>B</x:v>
      </x:c>
      <x:c r="I16" s="65" t="str">
        <x:v>Favorevole</x:v>
      </x:c>
      <x:c r="J16" s="65" t="str">
        <x:v>Simmetrica nella matrice</x:v>
      </x:c>
      <x:c r="K16" s="65" t="str">
        <x:v>Matrice integrata GitHub/Wikipedia e/o Orto Mio</x:v>
      </x:c>
      <x:c r="L16" s="65" t="str">
        <x:v>Non classificata scientificamente nel file</x:v>
      </x:c>
      <x:c r="M16" s="65" t="str">
        <x:v>Preferenza agronomica; non vincolo rigido</x:v>
      </x:c>
      <x:c r="N16" s="65" t="str">
        <x:v>La matrice non conserva la direzione originaria Helps/Helped by del dataset GitHub.</x:v>
      </x:c>
    </x:row>
    <x:row r="17" ht="15" hidden="0" customHeight="1">
      <x:c r="A17" s="65" t="str">
        <x:v>alliums__strawberry</x:v>
      </x:c>
      <x:c r="B17" s="65" t="str">
        <x:v>alliums</x:v>
      </x:c>
      <x:c r="C17" s="65" t="str">
        <x:v>Allium (gruppo)</x:v>
      </x:c>
      <x:c r="D17" s="65" t="str">
        <x:v>Alliums</x:v>
      </x:c>
      <x:c r="E17" s="65" t="str">
        <x:v>strawberry</x:v>
      </x:c>
      <x:c r="F17" s="65" t="str">
        <x:v>Fragola</x:v>
      </x:c>
      <x:c r="G17" s="65" t="str">
        <x:v>Strawberry</x:v>
      </x:c>
      <x:c r="H17" s="65" t="str">
        <x:v>B</x:v>
      </x:c>
      <x:c r="I17" s="65" t="str">
        <x:v>Favorevole</x:v>
      </x:c>
      <x:c r="J17" s="65" t="str">
        <x:v>Simmetrica nella matrice</x:v>
      </x:c>
      <x:c r="K17" s="65" t="str">
        <x:v>Orto Mio; possibile presenza anche nel dataset GitHub/Wikipedia</x:v>
      </x:c>
      <x:c r="L17" s="65" t="str">
        <x:v>Non classificata scientificamente nel file</x:v>
      </x:c>
      <x:c r="M17" s="65" t="str">
        <x:v>Preferenza agronomica; non vincolo rigido</x:v>
      </x:c>
      <x:c r="N17" s="65" t="str">
        <x:v>La matrice non conserva la direzione originaria Helps/Helped by del dataset GitHub.</x:v>
      </x:c>
    </x:row>
    <x:row r="18" ht="15" hidden="0" customHeight="1">
      <x:c r="A18" s="65" t="str">
        <x:v>asparagus__beans_bush</x:v>
      </x:c>
      <x:c r="B18" s="65" t="str">
        <x:v>asparagus</x:v>
      </x:c>
      <x:c r="C18" s="65" t="str">
        <x:v>Asparago</x:v>
      </x:c>
      <x:c r="D18" s="65" t="str">
        <x:v>Asparagus</x:v>
      </x:c>
      <x:c r="E18" s="65" t="str">
        <x:v>beans_bush</x:v>
      </x:c>
      <x:c r="F18" s="65" t="str">
        <x:v>Fagiolo nano</x:v>
      </x:c>
      <x:c r="G18" s="65" t="str">
        <x:v>Beans, bush</x:v>
      </x:c>
      <x:c r="H18" s="65" t="str">
        <x:v>B</x:v>
      </x:c>
      <x:c r="I18" s="65" t="str">
        <x:v>Favorevole</x:v>
      </x:c>
      <x:c r="J18" s="65" t="str">
        <x:v>Simmetrica nella matrice</x:v>
      </x:c>
      <x:c r="K18" s="65" t="str">
        <x:v>Orto Mio; possibile presenza anche nel dataset GitHub/Wikipedia</x:v>
      </x:c>
      <x:c r="L18" s="65" t="str">
        <x:v>Non classificata scientificamente nel file</x:v>
      </x:c>
      <x:c r="M18" s="65" t="str">
        <x:v>Preferenza agronomica; non vincolo rigido</x:v>
      </x:c>
      <x:c r="N18" s="65" t="str">
        <x:v>La matrice non conserva la direzione originaria Helps/Helped by del dataset GitHub.</x:v>
      </x:c>
    </x:row>
    <x:row r="19" ht="15" hidden="0" customHeight="1">
      <x:c r="A19" s="65" t="str">
        <x:v>asparagus__lettuce</x:v>
      </x:c>
      <x:c r="B19" s="65" t="str">
        <x:v>asparagus</x:v>
      </x:c>
      <x:c r="C19" s="65" t="str">
        <x:v>Asparago</x:v>
      </x:c>
      <x:c r="D19" s="65" t="str">
        <x:v>Asparagus</x:v>
      </x:c>
      <x:c r="E19" s="65" t="str">
        <x:v>lettuce</x:v>
      </x:c>
      <x:c r="F19" s="65" t="str">
        <x:v>Lattuga</x:v>
      </x:c>
      <x:c r="G19" s="65" t="str">
        <x:v>Lettuce</x:v>
      </x:c>
      <x:c r="H19" s="65" t="str">
        <x:v>B</x:v>
      </x:c>
      <x:c r="I19" s="65" t="str">
        <x:v>Favorevole</x:v>
      </x:c>
      <x:c r="J19" s="65" t="str">
        <x:v>Simmetrica nella matrice</x:v>
      </x:c>
      <x:c r="K19" s="65" t="str">
        <x:v>Orto Mio; possibile presenza anche nel dataset GitHub/Wikipedia</x:v>
      </x:c>
      <x:c r="L19" s="65" t="str">
        <x:v>Non classificata scientificamente nel file</x:v>
      </x:c>
      <x:c r="M19" s="65" t="str">
        <x:v>Preferenza agronomica; non vincolo rigido</x:v>
      </x:c>
      <x:c r="N19" s="65" t="str">
        <x:v>La matrice non conserva la direzione originaria Helps/Helped by del dataset GitHub.</x:v>
      </x:c>
    </x:row>
    <x:row r="20" ht="15" hidden="0" customHeight="1">
      <x:c r="A20" s="65" t="str">
        <x:v>asparagus__onion</x:v>
      </x:c>
      <x:c r="B20" s="65" t="str">
        <x:v>asparagus</x:v>
      </x:c>
      <x:c r="C20" s="65" t="str">
        <x:v>Asparago</x:v>
      </x:c>
      <x:c r="D20" s="65" t="str">
        <x:v>Asparagus</x:v>
      </x:c>
      <x:c r="E20" s="65" t="str">
        <x:v>onion</x:v>
      </x:c>
      <x:c r="F20" s="65" t="str">
        <x:v>Cipolla</x:v>
      </x:c>
      <x:c r="G20" s="65" t="str">
        <x:v>Onion</x:v>
      </x:c>
      <x:c r="H20" s="65" t="str">
        <x:v>C</x:v>
      </x:c>
      <x:c r="I20" s="65" t="str">
        <x:v>Da evitare</x:v>
      </x:c>
      <x:c r="J20" s="65" t="str">
        <x:v>Simmetrica nella matrice</x:v>
      </x:c>
      <x:c r="K20" s="65" t="str">
        <x:v>GitHub/Wikipedia (Orto Mio riporta soltanto relazioni favorevoli)</x:v>
      </x:c>
      <x:c r="L20" s="65" t="str">
        <x:v>Non classificata scientificamente nel file</x:v>
      </x:c>
      <x:c r="M20" s="65" t="str">
        <x:v>Avviso forte; non divieto assoluto</x:v>
      </x:c>
      <x:c r="N20" s="65" t="str">
        <x:v>La matrice non conserva la direzione originaria Helps/Helped by del dataset GitHub.</x:v>
      </x:c>
    </x:row>
    <x:row r="21" ht="15" hidden="0" customHeight="1">
      <x:c r="A21" s="65" t="str">
        <x:v>asparagus__potato</x:v>
      </x:c>
      <x:c r="B21" s="65" t="str">
        <x:v>asparagus</x:v>
      </x:c>
      <x:c r="C21" s="65" t="str">
        <x:v>Asparago</x:v>
      </x:c>
      <x:c r="D21" s="65" t="str">
        <x:v>Asparagus</x:v>
      </x:c>
      <x:c r="E21" s="65" t="str">
        <x:v>potato</x:v>
      </x:c>
      <x:c r="F21" s="65" t="str">
        <x:v>Patata</x:v>
      </x:c>
      <x:c r="G21" s="65" t="str">
        <x:v>Potato</x:v>
      </x:c>
      <x:c r="H21" s="65" t="str">
        <x:v>C</x:v>
      </x:c>
      <x:c r="I21" s="65" t="str">
        <x:v>Da evitare</x:v>
      </x:c>
      <x:c r="J21" s="65" t="str">
        <x:v>Simmetrica nella matrice</x:v>
      </x:c>
      <x:c r="K21" s="65" t="str">
        <x:v>GitHub/Wikipedia (Orto Mio riporta soltanto relazioni favorevoli)</x:v>
      </x:c>
      <x:c r="L21" s="65" t="str">
        <x:v>Non classificata scientificamente nel file</x:v>
      </x:c>
      <x:c r="M21" s="65" t="str">
        <x:v>Avviso forte; non divieto assoluto</x:v>
      </x:c>
      <x:c r="N21" s="65" t="str">
        <x:v>La matrice non conserva la direzione originaria Helps/Helped by del dataset GitHub.</x:v>
      </x:c>
    </x:row>
    <x:row r="22" ht="15" hidden="0" customHeight="1">
      <x:c r="A22" s="65" t="str">
        <x:v>asparagus__spinach</x:v>
      </x:c>
      <x:c r="B22" s="65" t="str">
        <x:v>asparagus</x:v>
      </x:c>
      <x:c r="C22" s="65" t="str">
        <x:v>Asparago</x:v>
      </x:c>
      <x:c r="D22" s="65" t="str">
        <x:v>Asparagus</x:v>
      </x:c>
      <x:c r="E22" s="65" t="str">
        <x:v>spinach</x:v>
      </x:c>
      <x:c r="F22" s="65" t="str">
        <x:v>Spinacio</x:v>
      </x:c>
      <x:c r="G22" s="65" t="str">
        <x:v>Spinach</x:v>
      </x:c>
      <x:c r="H22" s="65" t="str">
        <x:v>B</x:v>
      </x:c>
      <x:c r="I22" s="65" t="str">
        <x:v>Favorevole</x:v>
      </x:c>
      <x:c r="J22" s="65" t="str">
        <x:v>Simmetrica nella matrice</x:v>
      </x:c>
      <x:c r="K22" s="65" t="str">
        <x:v>Orto Mio; possibile presenza anche nel dataset GitHub/Wikipedia</x:v>
      </x:c>
      <x:c r="L22" s="65" t="str">
        <x:v>Non classificata scientificamente nel file</x:v>
      </x:c>
      <x:c r="M22" s="65" t="str">
        <x:v>Preferenza agronomica; non vincolo rigido</x:v>
      </x:c>
      <x:c r="N22" s="65" t="str">
        <x:v>La matrice non conserva la direzione originaria Helps/Helped by del dataset GitHub.</x:v>
      </x:c>
    </x:row>
    <x:row r="23" ht="15" hidden="0" customHeight="1">
      <x:c r="A23" s="65" t="str">
        <x:v>asparagus__tomatoes</x:v>
      </x:c>
      <x:c r="B23" s="65" t="str">
        <x:v>asparagus</x:v>
      </x:c>
      <x:c r="C23" s="65" t="str">
        <x:v>Asparago</x:v>
      </x:c>
      <x:c r="D23" s="65" t="str">
        <x:v>Asparagus</x:v>
      </x:c>
      <x:c r="E23" s="65" t="str">
        <x:v>tomatoes</x:v>
      </x:c>
      <x:c r="F23" s="65" t="str">
        <x:v>Pomodoro</x:v>
      </x:c>
      <x:c r="G23" s="65" t="str">
        <x:v>Tomatoes</x:v>
      </x:c>
      <x:c r="H23" s="65" t="str">
        <x:v>B</x:v>
      </x:c>
      <x:c r="I23" s="65" t="str">
        <x:v>Favorevole</x:v>
      </x:c>
      <x:c r="J23" s="65" t="str">
        <x:v>Simmetrica nella matrice</x:v>
      </x:c>
      <x:c r="K23" s="65" t="str">
        <x:v>Matrice integrata GitHub/Wikipedia e/o Orto Mio</x:v>
      </x:c>
      <x:c r="L23" s="65" t="str">
        <x:v>Non classificata scientificamente nel file</x:v>
      </x:c>
      <x:c r="M23" s="65" t="str">
        <x:v>Preferenza agronomica; non vincolo rigido</x:v>
      </x:c>
      <x:c r="N23" s="65" t="str">
        <x:v>La matrice non conserva la direzione originaria Helps/Helped by del dataset GitHub.</x:v>
      </x:c>
    </x:row>
    <x:row r="24" ht="15" hidden="0" customHeight="1">
      <x:c r="A24" s="65" t="str">
        <x:v>beans_bush__beets</x:v>
      </x:c>
      <x:c r="B24" s="65" t="str">
        <x:v>beans_bush</x:v>
      </x:c>
      <x:c r="C24" s="65" t="str">
        <x:v>Fagiolo nano</x:v>
      </x:c>
      <x:c r="D24" s="65" t="str">
        <x:v>Beans, bush</x:v>
      </x:c>
      <x:c r="E24" s="65" t="str">
        <x:v>beets</x:v>
      </x:c>
      <x:c r="F24" s="65" t="str">
        <x:v>Barbabietola</x:v>
      </x:c>
      <x:c r="G24" s="65" t="str">
        <x:v>Beets</x:v>
      </x:c>
      <x:c r="H24" s="65" t="str">
        <x:v>B</x:v>
      </x:c>
      <x:c r="I24" s="65" t="str">
        <x:v>Favorevole</x:v>
      </x:c>
      <x:c r="J24" s="65" t="str">
        <x:v>Simmetrica nella matrice</x:v>
      </x:c>
      <x:c r="K24" s="65" t="str">
        <x:v>Matrice integrata GitHub/Wikipedia e/o Orto Mio</x:v>
      </x:c>
      <x:c r="L24" s="65" t="str">
        <x:v>Non classificata scientificamente nel file</x:v>
      </x:c>
      <x:c r="M24" s="65" t="str">
        <x:v>Preferenza agronomica; non vincolo rigido</x:v>
      </x:c>
      <x:c r="N24" s="65" t="str">
        <x:v>La matrice non conserva la direzione originaria Helps/Helped by del dataset GitHub.</x:v>
      </x:c>
    </x:row>
    <x:row r="25" ht="15" hidden="0" customHeight="1">
      <x:c r="A25" s="65" t="str">
        <x:v>beans_bush__cabbage</x:v>
      </x:c>
      <x:c r="B25" s="65" t="str">
        <x:v>beans_bush</x:v>
      </x:c>
      <x:c r="C25" s="65" t="str">
        <x:v>Fagiolo nano</x:v>
      </x:c>
      <x:c r="D25" s="65" t="str">
        <x:v>Beans, bush</x:v>
      </x:c>
      <x:c r="E25" s="65" t="str">
        <x:v>cabbage</x:v>
      </x:c>
      <x:c r="F25" s="65" t="str">
        <x:v>Cavolo</x:v>
      </x:c>
      <x:c r="G25" s="65" t="str">
        <x:v>Cabbage</x:v>
      </x:c>
      <x:c r="H25" s="65" t="str">
        <x:v>B</x:v>
      </x:c>
      <x:c r="I25" s="65" t="str">
        <x:v>Favorevole</x:v>
      </x:c>
      <x:c r="J25" s="65" t="str">
        <x:v>Simmetrica nella matrice</x:v>
      </x:c>
      <x:c r="K25" s="65" t="str">
        <x:v>Orto Mio; possibile presenza anche nel dataset GitHub/Wikipedia</x:v>
      </x:c>
      <x:c r="L25" s="65" t="str">
        <x:v>Non classificata scientificamente nel file</x:v>
      </x:c>
      <x:c r="M25" s="65" t="str">
        <x:v>Preferenza agronomica; non vincolo rigido</x:v>
      </x:c>
      <x:c r="N25" s="65" t="str">
        <x:v>La matrice non conserva la direzione originaria Helps/Helped by del dataset GitHub.</x:v>
      </x:c>
    </x:row>
    <x:row r="26" ht="15" hidden="0" customHeight="1">
      <x:c r="A26" s="65" t="str">
        <x:v>beans_bush__celery</x:v>
      </x:c>
      <x:c r="B26" s="65" t="str">
        <x:v>beans_bush</x:v>
      </x:c>
      <x:c r="C26" s="65" t="str">
        <x:v>Fagiolo nano</x:v>
      </x:c>
      <x:c r="D26" s="65" t="str">
        <x:v>Beans, bush</x:v>
      </x:c>
      <x:c r="E26" s="65" t="str">
        <x:v>celery</x:v>
      </x:c>
      <x:c r="F26" s="65" t="str">
        <x:v>Sedano</x:v>
      </x:c>
      <x:c r="G26" s="65" t="str">
        <x:v>Celery</x:v>
      </x:c>
      <x:c r="H26" s="65" t="str">
        <x:v>B</x:v>
      </x:c>
      <x:c r="I26" s="65" t="str">
        <x:v>Favorevole</x:v>
      </x:c>
      <x:c r="J26" s="65" t="str">
        <x:v>Simmetrica nella matrice</x:v>
      </x:c>
      <x:c r="K26" s="65" t="str">
        <x:v>Orto Mio; possibile presenza anche nel dataset GitHub/Wikipedia</x:v>
      </x:c>
      <x:c r="L26" s="65" t="str">
        <x:v>Non classificata scientificamente nel file</x:v>
      </x:c>
      <x:c r="M26" s="65" t="str">
        <x:v>Preferenza agronomica; non vincolo rigido</x:v>
      </x:c>
      <x:c r="N26" s="65" t="str">
        <x:v>La matrice non conserva la direzione originaria Helps/Helped by del dataset GitHub.</x:v>
      </x:c>
    </x:row>
    <x:row r="27" ht="15" hidden="0" customHeight="1">
      <x:c r="A27" s="65" t="str">
        <x:v>beans_bush__cucumber</x:v>
      </x:c>
      <x:c r="B27" s="65" t="str">
        <x:v>beans_bush</x:v>
      </x:c>
      <x:c r="C27" s="65" t="str">
        <x:v>Fagiolo nano</x:v>
      </x:c>
      <x:c r="D27" s="65" t="str">
        <x:v>Beans, bush</x:v>
      </x:c>
      <x:c r="E27" s="65" t="str">
        <x:v>cucumber</x:v>
      </x:c>
      <x:c r="F27" s="65" t="str">
        <x:v>Cetriolo</x:v>
      </x:c>
      <x:c r="G27" s="65" t="str">
        <x:v>Cucumber</x:v>
      </x:c>
      <x:c r="H27" s="65" t="str">
        <x:v>B</x:v>
      </x:c>
      <x:c r="I27" s="65" t="str">
        <x:v>Favorevole</x:v>
      </x:c>
      <x:c r="J27" s="65" t="str">
        <x:v>Simmetrica nella matrice</x:v>
      </x:c>
      <x:c r="K27" s="65" t="str">
        <x:v>Matrice integrata GitHub/Wikipedia e/o Orto Mio</x:v>
      </x:c>
      <x:c r="L27" s="65" t="str">
        <x:v>Non classificata scientificamente nel file</x:v>
      </x:c>
      <x:c r="M27" s="65" t="str">
        <x:v>Preferenza agronomica; non vincolo rigido</x:v>
      </x:c>
      <x:c r="N27" s="65" t="str">
        <x:v>La matrice non conserva la direzione originaria Helps/Helped by del dataset GitHub.</x:v>
      </x:c>
    </x:row>
    <x:row r="28" ht="15" hidden="0" customHeight="1">
      <x:c r="A28" s="65" t="str">
        <x:v>beans_bush__eggplant_or_aubergine</x:v>
      </x:c>
      <x:c r="B28" s="65" t="str">
        <x:v>beans_bush</x:v>
      </x:c>
      <x:c r="C28" s="65" t="str">
        <x:v>Fagiolo nano</x:v>
      </x:c>
      <x:c r="D28" s="65" t="str">
        <x:v>Beans, bush</x:v>
      </x:c>
      <x:c r="E28" s="65" t="str">
        <x:v>eggplant_or_aubergine</x:v>
      </x:c>
      <x:c r="F28" s="65" t="str">
        <x:v>Melanzana</x:v>
      </x:c>
      <x:c r="G28" s="65" t="str">
        <x:v>Eggplant or Aubergine</x:v>
      </x:c>
      <x:c r="H28" s="65" t="str">
        <x:v>B</x:v>
      </x:c>
      <x:c r="I28" s="65" t="str">
        <x:v>Favorevole</x:v>
      </x:c>
      <x:c r="J28" s="65" t="str">
        <x:v>Simmetrica nella matrice</x:v>
      </x:c>
      <x:c r="K28" s="65" t="str">
        <x:v>Orto Mio; possibile presenza anche nel dataset GitHub/Wikipedia</x:v>
      </x:c>
      <x:c r="L28" s="65" t="str">
        <x:v>Non classificata scientificamente nel file</x:v>
      </x:c>
      <x:c r="M28" s="65" t="str">
        <x:v>Preferenza agronomica; non vincolo rigido</x:v>
      </x:c>
      <x:c r="N28" s="65" t="str">
        <x:v>La matrice non conserva la direzione originaria Helps/Helped by del dataset GitHub.</x:v>
      </x:c>
    </x:row>
    <x:row r="29" ht="15" hidden="0" customHeight="1">
      <x:c r="A29" s="65" t="str">
        <x:v>beans_bush__legumes</x:v>
      </x:c>
      <x:c r="B29" s="65" t="str">
        <x:v>beans_bush</x:v>
      </x:c>
      <x:c r="C29" s="65" t="str">
        <x:v>Fagiolo nano</x:v>
      </x:c>
      <x:c r="D29" s="65" t="str">
        <x:v>Beans, bush</x:v>
      </x:c>
      <x:c r="E29" s="65" t="str">
        <x:v>legumes</x:v>
      </x:c>
      <x:c r="F29" s="65" t="str">
        <x:v>Leguminose (gruppo)</x:v>
      </x:c>
      <x:c r="G29" s="65" t="str">
        <x:v>Legumes</x:v>
      </x:c>
      <x:c r="H29" s="65" t="str">
        <x:v>C</x:v>
      </x:c>
      <x:c r="I29" s="65" t="str">
        <x:v>Da evitare</x:v>
      </x:c>
      <x:c r="J29" s="65" t="str">
        <x:v>Simmetrica nella matrice</x:v>
      </x:c>
      <x:c r="K29" s="65" t="str">
        <x:v>GitHub/Wikipedia (Orto Mio riporta soltanto relazioni favorevoli)</x:v>
      </x:c>
      <x:c r="L29" s="65" t="str">
        <x:v>Non classificata scientificamente nel file</x:v>
      </x:c>
      <x:c r="M29" s="65" t="str">
        <x:v>Avviso forte; non divieto assoluto</x:v>
      </x:c>
      <x:c r="N29" s="65" t="str">
        <x:v>La matrice non conserva la direzione originaria Helps/Helped by del dataset GitHub.</x:v>
      </x:c>
    </x:row>
    <x:row r="30" ht="15" hidden="0" customHeight="1">
      <x:c r="A30" s="65" t="str">
        <x:v>beans_bush__lettuce</x:v>
      </x:c>
      <x:c r="B30" s="65" t="str">
        <x:v>beans_bush</x:v>
      </x:c>
      <x:c r="C30" s="65" t="str">
        <x:v>Fagiolo nano</x:v>
      </x:c>
      <x:c r="D30" s="65" t="str">
        <x:v>Beans, bush</x:v>
      </x:c>
      <x:c r="E30" s="65" t="str">
        <x:v>lettuce</x:v>
      </x:c>
      <x:c r="F30" s="65" t="str">
        <x:v>Lattuga</x:v>
      </x:c>
      <x:c r="G30" s="65" t="str">
        <x:v>Lettuce</x:v>
      </x:c>
      <x:c r="H30" s="65" t="str">
        <x:v>B</x:v>
      </x:c>
      <x:c r="I30" s="65" t="str">
        <x:v>Favorevole</x:v>
      </x:c>
      <x:c r="J30" s="65" t="str">
        <x:v>Simmetrica nella matrice</x:v>
      </x:c>
      <x:c r="K30" s="65" t="str">
        <x:v>Orto Mio; possibile presenza anche nel dataset GitHub/Wikipedia</x:v>
      </x:c>
      <x:c r="L30" s="65" t="str">
        <x:v>Non classificata scientificamente nel file</x:v>
      </x:c>
      <x:c r="M30" s="65" t="str">
        <x:v>Preferenza agronomica; non vincolo rigido</x:v>
      </x:c>
      <x:c r="N30" s="65" t="str">
        <x:v>La matrice non conserva la direzione originaria Helps/Helped by del dataset GitHub.</x:v>
      </x:c>
    </x:row>
    <x:row r="31" ht="15" hidden="0" customHeight="1">
      <x:c r="A31" s="65" t="str">
        <x:v>beans_bush__soybean</x:v>
      </x:c>
      <x:c r="B31" s="65" t="str">
        <x:v>beans_bush</x:v>
      </x:c>
      <x:c r="C31" s="65" t="str">
        <x:v>Fagiolo nano</x:v>
      </x:c>
      <x:c r="D31" s="65" t="str">
        <x:v>Beans, bush</x:v>
      </x:c>
      <x:c r="E31" s="65" t="str">
        <x:v>soybean</x:v>
      </x:c>
      <x:c r="F31" s="65" t="str">
        <x:v>Soia</x:v>
      </x:c>
      <x:c r="G31" s="65" t="str">
        <x:v>Soybean</x:v>
      </x:c>
      <x:c r="H31" s="65" t="str">
        <x:v>M</x:v>
      </x:c>
      <x:c r="I31" s="65" t="str">
        <x:v>Mista / fonti discordanti</x:v>
      </x:c>
      <x:c r="J31" s="65" t="str">
        <x:v>Simmetrica nella matrice</x:v>
      </x:c>
      <x:c r="K31" s="65" t="str">
        <x:v>GitHub/Wikipedia + Orto Mio (fonti discordanti)</x:v>
      </x:c>
      <x:c r="L31" s="65" t="str">
        <x:v>Non classificata scientificamente nel file</x:v>
      </x:c>
      <x:c r="M31" s="65" t="str">
        <x:v>Solo informativa; non usare per la disposizione automatica</x:v>
      </x:c>
      <x:c r="N31" s="65" t="str">
        <x:v>La matrice non conserva la direzione originaria Helps/Helped by del dataset GitHub.</x:v>
      </x:c>
    </x:row>
    <x:row r="32" ht="15" hidden="0" customHeight="1">
      <x:c r="A32" s="65" t="str">
        <x:v>beans_pole__beets</x:v>
      </x:c>
      <x:c r="B32" s="65" t="str">
        <x:v>beans_pole</x:v>
      </x:c>
      <x:c r="C32" s="65" t="str">
        <x:v>Fagiolo rampicante</x:v>
      </x:c>
      <x:c r="D32" s="65" t="str">
        <x:v>Beans, pole</x:v>
      </x:c>
      <x:c r="E32" s="65" t="str">
        <x:v>beets</x:v>
      </x:c>
      <x:c r="F32" s="65" t="str">
        <x:v>Barbabietola</x:v>
      </x:c>
      <x:c r="G32" s="65" t="str">
        <x:v>Beets</x:v>
      </x:c>
      <x:c r="H32" s="65" t="str">
        <x:v>C</x:v>
      </x:c>
      <x:c r="I32" s="65" t="str">
        <x:v>Da evitare</x:v>
      </x:c>
      <x:c r="J32" s="65" t="str">
        <x:v>Simmetrica nella matrice</x:v>
      </x:c>
      <x:c r="K32" s="65" t="str">
        <x:v>GitHub/Wikipedia (Orto Mio riporta soltanto relazioni favorevoli)</x:v>
      </x:c>
      <x:c r="L32" s="65" t="str">
        <x:v>Non classificata scientificamente nel file</x:v>
      </x:c>
      <x:c r="M32" s="65" t="str">
        <x:v>Avviso forte; non divieto assoluto</x:v>
      </x:c>
      <x:c r="N32" s="65" t="str">
        <x:v>La matrice non conserva la direzione originaria Helps/Helped by del dataset GitHub.</x:v>
      </x:c>
    </x:row>
    <x:row r="33" ht="15" hidden="0" customHeight="1">
      <x:c r="A33" s="65" t="str">
        <x:v>beans_pole__brassicas</x:v>
      </x:c>
      <x:c r="B33" s="65" t="str">
        <x:v>beans_pole</x:v>
      </x:c>
      <x:c r="C33" s="65" t="str">
        <x:v>Fagiolo rampicante</x:v>
      </x:c>
      <x:c r="D33" s="65" t="str">
        <x:v>Beans, pole</x:v>
      </x:c>
      <x:c r="E33" s="65" t="str">
        <x:v>brassicas</x:v>
      </x:c>
      <x:c r="F33" s="65" t="str">
        <x:v>Brassicacee (gruppo)</x:v>
      </x:c>
      <x:c r="G33" s="65" t="str">
        <x:v>Brassicas</x:v>
      </x:c>
      <x:c r="H33" s="65" t="str">
        <x:v>C</x:v>
      </x:c>
      <x:c r="I33" s="65" t="str">
        <x:v>Da evitare</x:v>
      </x:c>
      <x:c r="J33" s="65" t="str">
        <x:v>Simmetrica nella matrice</x:v>
      </x:c>
      <x:c r="K33" s="65" t="str">
        <x:v>GitHub/Wikipedia (Orto Mio riporta soltanto relazioni favorevoli)</x:v>
      </x:c>
      <x:c r="L33" s="65" t="str">
        <x:v>Non classificata scientificamente nel file</x:v>
      </x:c>
      <x:c r="M33" s="65" t="str">
        <x:v>Avviso forte; non divieto assoluto</x:v>
      </x:c>
      <x:c r="N33" s="65" t="str">
        <x:v>La matrice non conserva la direzione originaria Helps/Helped by del dataset GitHub.</x:v>
      </x:c>
    </x:row>
    <x:row r="34" ht="15" hidden="0" customHeight="1">
      <x:c r="A34" s="65" t="str">
        <x:v>beans_pole__corn_maize</x:v>
      </x:c>
      <x:c r="B34" s="65" t="str">
        <x:v>beans_pole</x:v>
      </x:c>
      <x:c r="C34" s="65" t="str">
        <x:v>Fagiolo rampicante</x:v>
      </x:c>
      <x:c r="D34" s="65" t="str">
        <x:v>Beans, pole</x:v>
      </x:c>
      <x:c r="E34" s="65" t="str">
        <x:v>corn_maize</x:v>
      </x:c>
      <x:c r="F34" s="65" t="str">
        <x:v>Mais</x:v>
      </x:c>
      <x:c r="G34" s="65" t="str">
        <x:v>Corn / Maize</x:v>
      </x:c>
      <x:c r="H34" s="65" t="str">
        <x:v>B</x:v>
      </x:c>
      <x:c r="I34" s="65" t="str">
        <x:v>Favorevole</x:v>
      </x:c>
      <x:c r="J34" s="65" t="str">
        <x:v>Simmetrica nella matrice</x:v>
      </x:c>
      <x:c r="K34" s="65" t="str">
        <x:v>Matrice integrata GitHub/Wikipedia e/o Orto Mio</x:v>
      </x:c>
      <x:c r="L34" s="65" t="str">
        <x:v>Non classificata scientificamente nel file</x:v>
      </x:c>
      <x:c r="M34" s="65" t="str">
        <x:v>Preferenza agronomica; non vincolo rigido</x:v>
      </x:c>
      <x:c r="N34" s="65" t="str">
        <x:v>La matrice non conserva la direzione originaria Helps/Helped by del dataset GitHub.</x:v>
      </x:c>
    </x:row>
    <x:row r="35" ht="15" hidden="0" customHeight="1">
      <x:c r="A35" s="65" t="str">
        <x:v>beans_pole__kohlrabi</x:v>
      </x:c>
      <x:c r="B35" s="65" t="str">
        <x:v>beans_pole</x:v>
      </x:c>
      <x:c r="C35" s="65" t="str">
        <x:v>Fagiolo rampicante</x:v>
      </x:c>
      <x:c r="D35" s="65" t="str">
        <x:v>Beans, pole</x:v>
      </x:c>
      <x:c r="E35" s="65" t="str">
        <x:v>kohlrabi</x:v>
      </x:c>
      <x:c r="F35" s="65" t="str">
        <x:v>Cavolo rapa</x:v>
      </x:c>
      <x:c r="G35" s="65" t="str">
        <x:v>Kohlrabi</x:v>
      </x:c>
      <x:c r="H35" s="65" t="str">
        <x:v>C</x:v>
      </x:c>
      <x:c r="I35" s="65" t="str">
        <x:v>Da evitare</x:v>
      </x:c>
      <x:c r="J35" s="65" t="str">
        <x:v>Simmetrica nella matrice</x:v>
      </x:c>
      <x:c r="K35" s="65" t="str">
        <x:v>GitHub/Wikipedia (Orto Mio riporta soltanto relazioni favorevoli)</x:v>
      </x:c>
      <x:c r="L35" s="65" t="str">
        <x:v>Non classificata scientificamente nel file</x:v>
      </x:c>
      <x:c r="M35" s="65" t="str">
        <x:v>Avviso forte; non divieto assoluto</x:v>
      </x:c>
      <x:c r="N35" s="65" t="str">
        <x:v>La matrice non conserva la direzione originaria Helps/Helped by del dataset GitHub.</x:v>
      </x:c>
    </x:row>
    <x:row r="36" ht="15" hidden="0" customHeight="1">
      <x:c r="A36" s="65" t="str">
        <x:v>beans_pole__radish</x:v>
      </x:c>
      <x:c r="B36" s="65" t="str">
        <x:v>beans_pole</x:v>
      </x:c>
      <x:c r="C36" s="65" t="str">
        <x:v>Fagiolo rampicante</x:v>
      </x:c>
      <x:c r="D36" s="65" t="str">
        <x:v>Beans, pole</x:v>
      </x:c>
      <x:c r="E36" s="65" t="str">
        <x:v>radish</x:v>
      </x:c>
      <x:c r="F36" s="65" t="str">
        <x:v>Ravanello</x:v>
      </x:c>
      <x:c r="G36" s="65" t="str">
        <x:v>Radish</x:v>
      </x:c>
      <x:c r="H36" s="65" t="str">
        <x:v>B</x:v>
      </x:c>
      <x:c r="I36" s="65" t="str">
        <x:v>Favorevole</x:v>
      </x:c>
      <x:c r="J36" s="65" t="str">
        <x:v>Simmetrica nella matrice</x:v>
      </x:c>
      <x:c r="K36" s="65" t="str">
        <x:v>Matrice integrata GitHub/Wikipedia e/o Orto Mio</x:v>
      </x:c>
      <x:c r="L36" s="65" t="str">
        <x:v>Non classificata scientificamente nel file</x:v>
      </x:c>
      <x:c r="M36" s="65" t="str">
        <x:v>Preferenza agronomica; non vincolo rigido</x:v>
      </x:c>
      <x:c r="N36" s="65" t="str">
        <x:v>La matrice non conserva la direzione originaria Helps/Helped by del dataset GitHub.</x:v>
      </x:c>
    </x:row>
    <x:row r="37" ht="15" hidden="0" customHeight="1">
      <x:c r="A37" s="65" t="str">
        <x:v>beans_fava__cabbage</x:v>
      </x:c>
      <x:c r="B37" s="65" t="str">
        <x:v>beans_fava</x:v>
      </x:c>
      <x:c r="C37" s="65" t="str">
        <x:v>Fava</x:v>
      </x:c>
      <x:c r="D37" s="65" t="str">
        <x:v>Beans, fava</x:v>
      </x:c>
      <x:c r="E37" s="65" t="str">
        <x:v>cabbage</x:v>
      </x:c>
      <x:c r="F37" s="65" t="str">
        <x:v>Cavolo</x:v>
      </x:c>
      <x:c r="G37" s="65" t="str">
        <x:v>Cabbage</x:v>
      </x:c>
      <x:c r="H37" s="65" t="str">
        <x:v>B</x:v>
      </x:c>
      <x:c r="I37" s="65" t="str">
        <x:v>Favorevole</x:v>
      </x:c>
      <x:c r="J37" s="65" t="str">
        <x:v>Simmetrica nella matrice</x:v>
      </x:c>
      <x:c r="K37" s="65" t="str">
        <x:v>Orto Mio; possibile presenza anche nel dataset GitHub/Wikipedia</x:v>
      </x:c>
      <x:c r="L37" s="65" t="str">
        <x:v>Non classificata scientificamente nel file</x:v>
      </x:c>
      <x:c r="M37" s="65" t="str">
        <x:v>Preferenza agronomica; non vincolo rigido</x:v>
      </x:c>
      <x:c r="N37" s="65" t="str">
        <x:v>La matrice non conserva la direzione originaria Helps/Helped by del dataset GitHub.</x:v>
      </x:c>
    </x:row>
    <x:row r="38" ht="15" hidden="0" customHeight="1">
      <x:c r="A38" s="65" t="str">
        <x:v>beans_fava__celery</x:v>
      </x:c>
      <x:c r="B38" s="65" t="str">
        <x:v>beans_fava</x:v>
      </x:c>
      <x:c r="C38" s="65" t="str">
        <x:v>Fava</x:v>
      </x:c>
      <x:c r="D38" s="65" t="str">
        <x:v>Beans, fava</x:v>
      </x:c>
      <x:c r="E38" s="65" t="str">
        <x:v>celery</x:v>
      </x:c>
      <x:c r="F38" s="65" t="str">
        <x:v>Sedano</x:v>
      </x:c>
      <x:c r="G38" s="65" t="str">
        <x:v>Celery</x:v>
      </x:c>
      <x:c r="H38" s="65" t="str">
        <x:v>B</x:v>
      </x:c>
      <x:c r="I38" s="65" t="str">
        <x:v>Favorevole</x:v>
      </x:c>
      <x:c r="J38" s="65" t="str">
        <x:v>Simmetrica nella matrice</x:v>
      </x:c>
      <x:c r="K38" s="65" t="str">
        <x:v>Matrice integrata GitHub/Wikipedia e/o Orto Mio</x:v>
      </x:c>
      <x:c r="L38" s="65" t="str">
        <x:v>Non classificata scientificamente nel file</x:v>
      </x:c>
      <x:c r="M38" s="65" t="str">
        <x:v>Preferenza agronomica; non vincolo rigido</x:v>
      </x:c>
      <x:c r="N38" s="65" t="str">
        <x:v>La matrice non conserva la direzione originaria Helps/Helped by del dataset GitHub.</x:v>
      </x:c>
    </x:row>
    <x:row r="39" ht="15" hidden="0" customHeight="1">
      <x:c r="A39" s="65" t="str">
        <x:v>beans_fava__lettuce</x:v>
      </x:c>
      <x:c r="B39" s="65" t="str">
        <x:v>beans_fava</x:v>
      </x:c>
      <x:c r="C39" s="65" t="str">
        <x:v>Fava</x:v>
      </x:c>
      <x:c r="D39" s="65" t="str">
        <x:v>Beans, fava</x:v>
      </x:c>
      <x:c r="E39" s="65" t="str">
        <x:v>lettuce</x:v>
      </x:c>
      <x:c r="F39" s="65" t="str">
        <x:v>Lattuga</x:v>
      </x:c>
      <x:c r="G39" s="65" t="str">
        <x:v>Lettuce</x:v>
      </x:c>
      <x:c r="H39" s="65" t="str">
        <x:v>B</x:v>
      </x:c>
      <x:c r="I39" s="65" t="str">
        <x:v>Favorevole</x:v>
      </x:c>
      <x:c r="J39" s="65" t="str">
        <x:v>Simmetrica nella matrice</x:v>
      </x:c>
      <x:c r="K39" s="65" t="str">
        <x:v>Orto Mio; possibile presenza anche nel dataset GitHub/Wikipedia</x:v>
      </x:c>
      <x:c r="L39" s="65" t="str">
        <x:v>Non classificata scientificamente nel file</x:v>
      </x:c>
      <x:c r="M39" s="65" t="str">
        <x:v>Preferenza agronomica; non vincolo rigido</x:v>
      </x:c>
      <x:c r="N39" s="65" t="str">
        <x:v>La matrice non conserva la direzione originaria Helps/Helped by del dataset GitHub.</x:v>
      </x:c>
    </x:row>
    <x:row r="40" ht="15" hidden="0" customHeight="1">
      <x:c r="A40" s="65" t="str">
        <x:v>beans_fava__potato</x:v>
      </x:c>
      <x:c r="B40" s="65" t="str">
        <x:v>beans_fava</x:v>
      </x:c>
      <x:c r="C40" s="65" t="str">
        <x:v>Fava</x:v>
      </x:c>
      <x:c r="D40" s="65" t="str">
        <x:v>Beans, fava</x:v>
      </x:c>
      <x:c r="E40" s="65" t="str">
        <x:v>potato</x:v>
      </x:c>
      <x:c r="F40" s="65" t="str">
        <x:v>Patata</x:v>
      </x:c>
      <x:c r="G40" s="65" t="str">
        <x:v>Potato</x:v>
      </x:c>
      <x:c r="H40" s="65" t="str">
        <x:v>B</x:v>
      </x:c>
      <x:c r="I40" s="65" t="str">
        <x:v>Favorevole</x:v>
      </x:c>
      <x:c r="J40" s="65" t="str">
        <x:v>Simmetrica nella matrice</x:v>
      </x:c>
      <x:c r="K40" s="65" t="str">
        <x:v>Orto Mio; possibile presenza anche nel dataset GitHub/Wikipedia</x:v>
      </x:c>
      <x:c r="L40" s="65" t="str">
        <x:v>Non classificata scientificamente nel file</x:v>
      </x:c>
      <x:c r="M40" s="65" t="str">
        <x:v>Preferenza agronomica; non vincolo rigido</x:v>
      </x:c>
      <x:c r="N40" s="65" t="str">
        <x:v>La matrice non conserva la direzione originaria Helps/Helped by del dataset GitHub.</x:v>
      </x:c>
    </x:row>
    <x:row r="41" ht="15" hidden="0" customHeight="1">
      <x:c r="A41" s="65" t="str">
        <x:v>beets__brassicas</x:v>
      </x:c>
      <x:c r="B41" s="65" t="str">
        <x:v>beets</x:v>
      </x:c>
      <x:c r="C41" s="65" t="str">
        <x:v>Barbabietola</x:v>
      </x:c>
      <x:c r="D41" s="65" t="str">
        <x:v>Beets</x:v>
      </x:c>
      <x:c r="E41" s="65" t="str">
        <x:v>brassicas</x:v>
      </x:c>
      <x:c r="F41" s="65" t="str">
        <x:v>Brassicacee (gruppo)</x:v>
      </x:c>
      <x:c r="G41" s="65" t="str">
        <x:v>Brassicas</x:v>
      </x:c>
      <x:c r="H41" s="65" t="str">
        <x:v>B</x:v>
      </x:c>
      <x:c r="I41" s="65" t="str">
        <x:v>Favorevole</x:v>
      </x:c>
      <x:c r="J41" s="65" t="str">
        <x:v>Simmetrica nella matrice</x:v>
      </x:c>
      <x:c r="K41" s="65" t="str">
        <x:v>Matrice integrata GitHub/Wikipedia e/o Orto Mio</x:v>
      </x:c>
      <x:c r="L41" s="65" t="str">
        <x:v>Non classificata scientificamente nel file</x:v>
      </x:c>
      <x:c r="M41" s="65" t="str">
        <x:v>Preferenza agronomica; non vincolo rigido</x:v>
      </x:c>
      <x:c r="N41" s="65" t="str">
        <x:v>La matrice non conserva la direzione originaria Helps/Helped by del dataset GitHub.</x:v>
      </x:c>
    </x:row>
    <x:row r="42" ht="15" hidden="0" customHeight="1">
      <x:c r="A42" s="65" t="str">
        <x:v>beets__broccoli</x:v>
      </x:c>
      <x:c r="B42" s="65" t="str">
        <x:v>beets</x:v>
      </x:c>
      <x:c r="C42" s="65" t="str">
        <x:v>Barbabietola</x:v>
      </x:c>
      <x:c r="D42" s="65" t="str">
        <x:v>Beets</x:v>
      </x:c>
      <x:c r="E42" s="65" t="str">
        <x:v>broccoli</x:v>
      </x:c>
      <x:c r="F42" s="65" t="str">
        <x:v>Broccolo</x:v>
      </x:c>
      <x:c r="G42" s="65" t="str">
        <x:v>Broccoli</x:v>
      </x:c>
      <x:c r="H42" s="65" t="str">
        <x:v>B</x:v>
      </x:c>
      <x:c r="I42" s="65" t="str">
        <x:v>Favorevole</x:v>
      </x:c>
      <x:c r="J42" s="65" t="str">
        <x:v>Simmetrica nella matrice</x:v>
      </x:c>
      <x:c r="K42" s="65" t="str">
        <x:v>Matrice integrata GitHub/Wikipedia e/o Orto Mio</x:v>
      </x:c>
      <x:c r="L42" s="65" t="str">
        <x:v>Non classificata scientificamente nel file</x:v>
      </x:c>
      <x:c r="M42" s="65" t="str">
        <x:v>Preferenza agronomica; non vincolo rigido</x:v>
      </x:c>
      <x:c r="N42" s="65" t="str">
        <x:v>La matrice non conserva la direzione originaria Helps/Helped by del dataset GitHub.</x:v>
      </x:c>
    </x:row>
    <x:row r="43" ht="15" hidden="0" customHeight="1">
      <x:c r="A43" s="65" t="str">
        <x:v>beets__cabbage</x:v>
      </x:c>
      <x:c r="B43" s="65" t="str">
        <x:v>beets</x:v>
      </x:c>
      <x:c r="C43" s="65" t="str">
        <x:v>Barbabietola</x:v>
      </x:c>
      <x:c r="D43" s="65" t="str">
        <x:v>Beets</x:v>
      </x:c>
      <x:c r="E43" s="65" t="str">
        <x:v>cabbage</x:v>
      </x:c>
      <x:c r="F43" s="65" t="str">
        <x:v>Cavolo</x:v>
      </x:c>
      <x:c r="G43" s="65" t="str">
        <x:v>Cabbage</x:v>
      </x:c>
      <x:c r="H43" s="65" t="str">
        <x:v>B</x:v>
      </x:c>
      <x:c r="I43" s="65" t="str">
        <x:v>Favorevole</x:v>
      </x:c>
      <x:c r="J43" s="65" t="str">
        <x:v>Simmetrica nella matrice</x:v>
      </x:c>
      <x:c r="K43" s="65" t="str">
        <x:v>Matrice integrata GitHub/Wikipedia e/o Orto Mio</x:v>
      </x:c>
      <x:c r="L43" s="65" t="str">
        <x:v>Non classificata scientificamente nel file</x:v>
      </x:c>
      <x:c r="M43" s="65" t="str">
        <x:v>Preferenza agronomica; non vincolo rigido</x:v>
      </x:c>
      <x:c r="N43" s="65" t="str">
        <x:v>La matrice non conserva la direzione originaria Helps/Helped by del dataset GitHub.</x:v>
      </x:c>
    </x:row>
    <x:row r="44" ht="15" hidden="0" customHeight="1">
      <x:c r="A44" s="65" t="str">
        <x:v>beets__cucumber</x:v>
      </x:c>
      <x:c r="B44" s="65" t="str">
        <x:v>beets</x:v>
      </x:c>
      <x:c r="C44" s="65" t="str">
        <x:v>Barbabietola</x:v>
      </x:c>
      <x:c r="D44" s="65" t="str">
        <x:v>Beets</x:v>
      </x:c>
      <x:c r="E44" s="65" t="str">
        <x:v>cucumber</x:v>
      </x:c>
      <x:c r="F44" s="65" t="str">
        <x:v>Cetriolo</x:v>
      </x:c>
      <x:c r="G44" s="65" t="str">
        <x:v>Cucumber</x:v>
      </x:c>
      <x:c r="H44" s="65" t="str">
        <x:v>B</x:v>
      </x:c>
      <x:c r="I44" s="65" t="str">
        <x:v>Favorevole</x:v>
      </x:c>
      <x:c r="J44" s="65" t="str">
        <x:v>Simmetrica nella matrice</x:v>
      </x:c>
      <x:c r="K44" s="65" t="str">
        <x:v>Matrice integrata GitHub/Wikipedia e/o Orto Mio</x:v>
      </x:c>
      <x:c r="L44" s="65" t="str">
        <x:v>Non classificata scientificamente nel file</x:v>
      </x:c>
      <x:c r="M44" s="65" t="str">
        <x:v>Preferenza agronomica; non vincolo rigido</x:v>
      </x:c>
      <x:c r="N44" s="65" t="str">
        <x:v>La matrice non conserva la direzione originaria Helps/Helped by del dataset GitHub.</x:v>
      </x:c>
    </x:row>
    <x:row r="45" ht="15" hidden="0" customHeight="1">
      <x:c r="A45" s="65" t="str">
        <x:v>beets__kohlrabi</x:v>
      </x:c>
      <x:c r="B45" s="65" t="str">
        <x:v>beets</x:v>
      </x:c>
      <x:c r="C45" s="65" t="str">
        <x:v>Barbabietola</x:v>
      </x:c>
      <x:c r="D45" s="65" t="str">
        <x:v>Beets</x:v>
      </x:c>
      <x:c r="E45" s="65" t="str">
        <x:v>kohlrabi</x:v>
      </x:c>
      <x:c r="F45" s="65" t="str">
        <x:v>Cavolo rapa</x:v>
      </x:c>
      <x:c r="G45" s="65" t="str">
        <x:v>Kohlrabi</x:v>
      </x:c>
      <x:c r="H45" s="65" t="str">
        <x:v>B</x:v>
      </x:c>
      <x:c r="I45" s="65" t="str">
        <x:v>Favorevole</x:v>
      </x:c>
      <x:c r="J45" s="65" t="str">
        <x:v>Simmetrica nella matrice</x:v>
      </x:c>
      <x:c r="K45" s="65" t="str">
        <x:v>Matrice integrata GitHub/Wikipedia e/o Orto Mio</x:v>
      </x:c>
      <x:c r="L45" s="65" t="str">
        <x:v>Non classificata scientificamente nel file</x:v>
      </x:c>
      <x:c r="M45" s="65" t="str">
        <x:v>Preferenza agronomica; non vincolo rigido</x:v>
      </x:c>
      <x:c r="N45" s="65" t="str">
        <x:v>La matrice non conserva la direzione originaria Helps/Helped by del dataset GitHub.</x:v>
      </x:c>
    </x:row>
    <x:row r="46" ht="15" hidden="0" customHeight="1">
      <x:c r="A46" s="65" t="str">
        <x:v>beets__legumes</x:v>
      </x:c>
      <x:c r="B46" s="65" t="str">
        <x:v>beets</x:v>
      </x:c>
      <x:c r="C46" s="65" t="str">
        <x:v>Barbabietola</x:v>
      </x:c>
      <x:c r="D46" s="65" t="str">
        <x:v>Beets</x:v>
      </x:c>
      <x:c r="E46" s="65" t="str">
        <x:v>legumes</x:v>
      </x:c>
      <x:c r="F46" s="65" t="str">
        <x:v>Leguminose (gruppo)</x:v>
      </x:c>
      <x:c r="G46" s="65" t="str">
        <x:v>Legumes</x:v>
      </x:c>
      <x:c r="H46" s="65" t="str">
        <x:v>M</x:v>
      </x:c>
      <x:c r="I46" s="65" t="str">
        <x:v>Mista / fonti discordanti</x:v>
      </x:c>
      <x:c r="J46" s="65" t="str">
        <x:v>Simmetrica nella matrice</x:v>
      </x:c>
      <x:c r="K46" s="65" t="str">
        <x:v>GitHub/Wikipedia + Orto Mio (fonti discordanti)</x:v>
      </x:c>
      <x:c r="L46" s="65" t="str">
        <x:v>Non classificata scientificamente nel file</x:v>
      </x:c>
      <x:c r="M46" s="65" t="str">
        <x:v>Solo informativa; non usare per la disposizione automatica</x:v>
      </x:c>
      <x:c r="N46" s="65" t="str">
        <x:v>La matrice non conserva la direzione originaria Helps/Helped by del dataset GitHub.</x:v>
      </x:c>
    </x:row>
    <x:row r="47" ht="15" hidden="0" customHeight="1">
      <x:c r="A47" s="65" t="str">
        <x:v>beets__lettuce</x:v>
      </x:c>
      <x:c r="B47" s="65" t="str">
        <x:v>beets</x:v>
      </x:c>
      <x:c r="C47" s="65" t="str">
        <x:v>Barbabietola</x:v>
      </x:c>
      <x:c r="D47" s="65" t="str">
        <x:v>Beets</x:v>
      </x:c>
      <x:c r="E47" s="65" t="str">
        <x:v>lettuce</x:v>
      </x:c>
      <x:c r="F47" s="65" t="str">
        <x:v>Lattuga</x:v>
      </x:c>
      <x:c r="G47" s="65" t="str">
        <x:v>Lettuce</x:v>
      </x:c>
      <x:c r="H47" s="65" t="str">
        <x:v>B</x:v>
      </x:c>
      <x:c r="I47" s="65" t="str">
        <x:v>Favorevole</x:v>
      </x:c>
      <x:c r="J47" s="65" t="str">
        <x:v>Simmetrica nella matrice</x:v>
      </x:c>
      <x:c r="K47" s="65" t="str">
        <x:v>Matrice integrata GitHub/Wikipedia e/o Orto Mio</x:v>
      </x:c>
      <x:c r="L47" s="65" t="str">
        <x:v>Non classificata scientificamente nel file</x:v>
      </x:c>
      <x:c r="M47" s="65" t="str">
        <x:v>Preferenza agronomica; non vincolo rigido</x:v>
      </x:c>
      <x:c r="N47" s="65" t="str">
        <x:v>La matrice non conserva la direzione originaria Helps/Helped by del dataset GitHub.</x:v>
      </x:c>
    </x:row>
    <x:row r="48" ht="15" hidden="0" customHeight="1">
      <x:c r="A48" s="65" t="str">
        <x:v>beets__onion</x:v>
      </x:c>
      <x:c r="B48" s="65" t="str">
        <x:v>beets</x:v>
      </x:c>
      <x:c r="C48" s="65" t="str">
        <x:v>Barbabietola</x:v>
      </x:c>
      <x:c r="D48" s="65" t="str">
        <x:v>Beets</x:v>
      </x:c>
      <x:c r="E48" s="65" t="str">
        <x:v>onion</x:v>
      </x:c>
      <x:c r="F48" s="65" t="str">
        <x:v>Cipolla</x:v>
      </x:c>
      <x:c r="G48" s="65" t="str">
        <x:v>Onion</x:v>
      </x:c>
      <x:c r="H48" s="65" t="str">
        <x:v>B</x:v>
      </x:c>
      <x:c r="I48" s="65" t="str">
        <x:v>Favorevole</x:v>
      </x:c>
      <x:c r="J48" s="65" t="str">
        <x:v>Simmetrica nella matrice</x:v>
      </x:c>
      <x:c r="K48" s="65" t="str">
        <x:v>Matrice integrata GitHub/Wikipedia e/o Orto Mio</x:v>
      </x:c>
      <x:c r="L48" s="65" t="str">
        <x:v>Non classificata scientificamente nel file</x:v>
      </x:c>
      <x:c r="M48" s="65" t="str">
        <x:v>Preferenza agronomica; non vincolo rigido</x:v>
      </x:c>
      <x:c r="N48" s="65" t="str">
        <x:v>La matrice non conserva la direzione originaria Helps/Helped by del dataset GitHub.</x:v>
      </x:c>
    </x:row>
    <x:row r="49" ht="15" hidden="0" customHeight="1">
      <x:c r="A49" s="65" t="str">
        <x:v>beets__tomatoes</x:v>
      </x:c>
      <x:c r="B49" s="65" t="str">
        <x:v>beets</x:v>
      </x:c>
      <x:c r="C49" s="65" t="str">
        <x:v>Barbabietola</x:v>
      </x:c>
      <x:c r="D49" s="65" t="str">
        <x:v>Beets</x:v>
      </x:c>
      <x:c r="E49" s="65" t="str">
        <x:v>tomatoes</x:v>
      </x:c>
      <x:c r="F49" s="65" t="str">
        <x:v>Pomodoro</x:v>
      </x:c>
      <x:c r="G49" s="65" t="str">
        <x:v>Tomatoes</x:v>
      </x:c>
      <x:c r="H49" s="65" t="str">
        <x:v>C</x:v>
      </x:c>
      <x:c r="I49" s="65" t="str">
        <x:v>Da evitare</x:v>
      </x:c>
      <x:c r="J49" s="65" t="str">
        <x:v>Simmetrica nella matrice</x:v>
      </x:c>
      <x:c r="K49" s="65" t="str">
        <x:v>GitHub/Wikipedia (Orto Mio riporta soltanto relazioni favorevoli)</x:v>
      </x:c>
      <x:c r="L49" s="65" t="str">
        <x:v>Non classificata scientificamente nel file</x:v>
      </x:c>
      <x:c r="M49" s="65" t="str">
        <x:v>Avviso forte; non divieto assoluto</x:v>
      </x:c>
      <x:c r="N49" s="65" t="str">
        <x:v>La matrice non conserva la direzione originaria Helps/Helped by del dataset GitHub.</x:v>
      </x:c>
    </x:row>
    <x:row r="50" ht="15" hidden="0" customHeight="1">
      <x:c r="A50" s="65" t="str">
        <x:v>brassicas__celery</x:v>
      </x:c>
      <x:c r="B50" s="65" t="str">
        <x:v>brassicas</x:v>
      </x:c>
      <x:c r="C50" s="65" t="str">
        <x:v>Brassicacee (gruppo)</x:v>
      </x:c>
      <x:c r="D50" s="65" t="str">
        <x:v>Brassicas</x:v>
      </x:c>
      <x:c r="E50" s="65" t="str">
        <x:v>celery</x:v>
      </x:c>
      <x:c r="F50" s="65" t="str">
        <x:v>Sedano</x:v>
      </x:c>
      <x:c r="G50" s="65" t="str">
        <x:v>Celery</x:v>
      </x:c>
      <x:c r="H50" s="65" t="str">
        <x:v>B</x:v>
      </x:c>
      <x:c r="I50" s="65" t="str">
        <x:v>Favorevole</x:v>
      </x:c>
      <x:c r="J50" s="65" t="str">
        <x:v>Simmetrica nella matrice</x:v>
      </x:c>
      <x:c r="K50" s="65" t="str">
        <x:v>Matrice integrata GitHub/Wikipedia e/o Orto Mio</x:v>
      </x:c>
      <x:c r="L50" s="65" t="str">
        <x:v>Non classificata scientificamente nel file</x:v>
      </x:c>
      <x:c r="M50" s="65" t="str">
        <x:v>Preferenza agronomica; non vincolo rigido</x:v>
      </x:c>
      <x:c r="N50" s="65" t="str">
        <x:v>La matrice non conserva la direzione originaria Helps/Helped by del dataset GitHub.</x:v>
      </x:c>
    </x:row>
    <x:row r="51" ht="15" hidden="0" customHeight="1">
      <x:c r="A51" s="65" t="str">
        <x:v>brassicas__chard</x:v>
      </x:c>
      <x:c r="B51" s="65" t="str">
        <x:v>brassicas</x:v>
      </x:c>
      <x:c r="C51" s="65" t="str">
        <x:v>Brassicacee (gruppo)</x:v>
      </x:c>
      <x:c r="D51" s="65" t="str">
        <x:v>Brassicas</x:v>
      </x:c>
      <x:c r="E51" s="65" t="str">
        <x:v>chard</x:v>
      </x:c>
      <x:c r="F51" s="65" t="str">
        <x:v>Bietola</x:v>
      </x:c>
      <x:c r="G51" s="65" t="str">
        <x:v>Chard</x:v>
      </x:c>
      <x:c r="H51" s="65" t="str">
        <x:v>B</x:v>
      </x:c>
      <x:c r="I51" s="65" t="str">
        <x:v>Favorevole</x:v>
      </x:c>
      <x:c r="J51" s="65" t="str">
        <x:v>Simmetrica nella matrice</x:v>
      </x:c>
      <x:c r="K51" s="65" t="str">
        <x:v>Matrice integrata GitHub/Wikipedia e/o Orto Mio</x:v>
      </x:c>
      <x:c r="L51" s="65" t="str">
        <x:v>Non classificata scientificamente nel file</x:v>
      </x:c>
      <x:c r="M51" s="65" t="str">
        <x:v>Preferenza agronomica; non vincolo rigido</x:v>
      </x:c>
      <x:c r="N51" s="65" t="str">
        <x:v>La matrice non conserva la direzione originaria Helps/Helped by del dataset GitHub.</x:v>
      </x:c>
    </x:row>
    <x:row r="52" ht="15" hidden="0" customHeight="1">
      <x:c r="A52" s="65" t="str">
        <x:v>brassicas__corn_maize</x:v>
      </x:c>
      <x:c r="B52" s="65" t="str">
        <x:v>brassicas</x:v>
      </x:c>
      <x:c r="C52" s="65" t="str">
        <x:v>Brassicacee (gruppo)</x:v>
      </x:c>
      <x:c r="D52" s="65" t="str">
        <x:v>Brassicas</x:v>
      </x:c>
      <x:c r="E52" s="65" t="str">
        <x:v>corn_maize</x:v>
      </x:c>
      <x:c r="F52" s="65" t="str">
        <x:v>Mais</x:v>
      </x:c>
      <x:c r="G52" s="65" t="str">
        <x:v>Corn / Maize</x:v>
      </x:c>
      <x:c r="H52" s="65" t="str">
        <x:v>B</x:v>
      </x:c>
      <x:c r="I52" s="65" t="str">
        <x:v>Favorevole</x:v>
      </x:c>
      <x:c r="J52" s="65" t="str">
        <x:v>Simmetrica nella matrice</x:v>
      </x:c>
      <x:c r="K52" s="65" t="str">
        <x:v>Matrice integrata GitHub/Wikipedia e/o Orto Mio</x:v>
      </x:c>
      <x:c r="L52" s="65" t="str">
        <x:v>Non classificata scientificamente nel file</x:v>
      </x:c>
      <x:c r="M52" s="65" t="str">
        <x:v>Preferenza agronomica; non vincolo rigido</x:v>
      </x:c>
      <x:c r="N52" s="65" t="str">
        <x:v>La matrice non conserva la direzione originaria Helps/Helped by del dataset GitHub.</x:v>
      </x:c>
    </x:row>
    <x:row r="53" ht="15" hidden="0" customHeight="1">
      <x:c r="A53" s="65" t="str">
        <x:v>brassicas__legumes</x:v>
      </x:c>
      <x:c r="B53" s="65" t="str">
        <x:v>brassicas</x:v>
      </x:c>
      <x:c r="C53" s="65" t="str">
        <x:v>Brassicacee (gruppo)</x:v>
      </x:c>
      <x:c r="D53" s="65" t="str">
        <x:v>Brassicas</x:v>
      </x:c>
      <x:c r="E53" s="65" t="str">
        <x:v>legumes</x:v>
      </x:c>
      <x:c r="F53" s="65" t="str">
        <x:v>Leguminose (gruppo)</x:v>
      </x:c>
      <x:c r="G53" s="65" t="str">
        <x:v>Legumes</x:v>
      </x:c>
      <x:c r="H53" s="65" t="str">
        <x:v>M</x:v>
      </x:c>
      <x:c r="I53" s="65" t="str">
        <x:v>Mista / fonti discordanti</x:v>
      </x:c>
      <x:c r="J53" s="65" t="str">
        <x:v>Simmetrica nella matrice</x:v>
      </x:c>
      <x:c r="K53" s="65" t="str">
        <x:v>GitHub/Wikipedia + Orto Mio (fonti discordanti)</x:v>
      </x:c>
      <x:c r="L53" s="65" t="str">
        <x:v>Non classificata scientificamente nel file</x:v>
      </x:c>
      <x:c r="M53" s="65" t="str">
        <x:v>Solo informativa; non usare per la disposizione automatica</x:v>
      </x:c>
      <x:c r="N53" s="65" t="str">
        <x:v>La matrice non conserva la direzione originaria Helps/Helped by del dataset GitHub.</x:v>
      </x:c>
    </x:row>
    <x:row r="54" ht="15" hidden="0" customHeight="1">
      <x:c r="A54" s="65" t="str">
        <x:v>brassicas__mustard</x:v>
      </x:c>
      <x:c r="B54" s="65" t="str">
        <x:v>brassicas</x:v>
      </x:c>
      <x:c r="C54" s="65" t="str">
        <x:v>Brassicacee (gruppo)</x:v>
      </x:c>
      <x:c r="D54" s="65" t="str">
        <x:v>Brassicas</x:v>
      </x:c>
      <x:c r="E54" s="65" t="str">
        <x:v>mustard</x:v>
      </x:c>
      <x:c r="F54" s="65" t="str">
        <x:v>Senape</x:v>
      </x:c>
      <x:c r="G54" s="65" t="str">
        <x:v>Mustard</x:v>
      </x:c>
      <x:c r="H54" s="65" t="str">
        <x:v>C</x:v>
      </x:c>
      <x:c r="I54" s="65" t="str">
        <x:v>Da evitare</x:v>
      </x:c>
      <x:c r="J54" s="65" t="str">
        <x:v>Simmetrica nella matrice</x:v>
      </x:c>
      <x:c r="K54" s="65" t="str">
        <x:v>GitHub/Wikipedia (Orto Mio riporta soltanto relazioni favorevoli)</x:v>
      </x:c>
      <x:c r="L54" s="65" t="str">
        <x:v>Non classificata scientificamente nel file</x:v>
      </x:c>
      <x:c r="M54" s="65" t="str">
        <x:v>Avviso forte; non divieto assoluto</x:v>
      </x:c>
      <x:c r="N54" s="65" t="str">
        <x:v>La matrice non conserva la direzione originaria Helps/Helped by del dataset GitHub.</x:v>
      </x:c>
    </x:row>
    <x:row r="55" ht="15" hidden="0" customHeight="1">
      <x:c r="A55" s="65" t="str">
        <x:v>brassicas__nightshades</x:v>
      </x:c>
      <x:c r="B55" s="65" t="str">
        <x:v>brassicas</x:v>
      </x:c>
      <x:c r="C55" s="65" t="str">
        <x:v>Brassicacee (gruppo)</x:v>
      </x:c>
      <x:c r="D55" s="65" t="str">
        <x:v>Brassicas</x:v>
      </x:c>
      <x:c r="E55" s="65" t="str">
        <x:v>nightshades</x:v>
      </x:c>
      <x:c r="F55" s="65" t="str">
        <x:v>Solanacee (gruppo)</x:v>
      </x:c>
      <x:c r="G55" s="65" t="str">
        <x:v>Nightshades</x:v>
      </x:c>
      <x:c r="H55" s="65" t="str">
        <x:v>C</x:v>
      </x:c>
      <x:c r="I55" s="65" t="str">
        <x:v>Da evitare</x:v>
      </x:c>
      <x:c r="J55" s="65" t="str">
        <x:v>Simmetrica nella matrice</x:v>
      </x:c>
      <x:c r="K55" s="65" t="str">
        <x:v>GitHub/Wikipedia (Orto Mio riporta soltanto relazioni favorevoli)</x:v>
      </x:c>
      <x:c r="L55" s="65" t="str">
        <x:v>Non classificata scientificamente nel file</x:v>
      </x:c>
      <x:c r="M55" s="65" t="str">
        <x:v>Avviso forte; non divieto assoluto</x:v>
      </x:c>
      <x:c r="N55" s="65" t="str">
        <x:v>La matrice non conserva la direzione originaria Helps/Helped by del dataset GitHub.</x:v>
      </x:c>
    </x:row>
    <x:row r="56" ht="15" hidden="0" customHeight="1">
      <x:c r="A56" s="65" t="str">
        <x:v>brassicas__onion</x:v>
      </x:c>
      <x:c r="B56" s="65" t="str">
        <x:v>brassicas</x:v>
      </x:c>
      <x:c r="C56" s="65" t="str">
        <x:v>Brassicacee (gruppo)</x:v>
      </x:c>
      <x:c r="D56" s="65" t="str">
        <x:v>Brassicas</x:v>
      </x:c>
      <x:c r="E56" s="65" t="str">
        <x:v>onion</x:v>
      </x:c>
      <x:c r="F56" s="65" t="str">
        <x:v>Cipolla</x:v>
      </x:c>
      <x:c r="G56" s="65" t="str">
        <x:v>Onion</x:v>
      </x:c>
      <x:c r="H56" s="65" t="str">
        <x:v>B</x:v>
      </x:c>
      <x:c r="I56" s="65" t="str">
        <x:v>Favorevole</x:v>
      </x:c>
      <x:c r="J56" s="65" t="str">
        <x:v>Simmetrica nella matrice</x:v>
      </x:c>
      <x:c r="K56" s="65" t="str">
        <x:v>Matrice integrata GitHub/Wikipedia e/o Orto Mio</x:v>
      </x:c>
      <x:c r="L56" s="65" t="str">
        <x:v>Non classificata scientificamente nel file</x:v>
      </x:c>
      <x:c r="M56" s="65" t="str">
        <x:v>Preferenza agronomica; non vincolo rigido</x:v>
      </x:c>
      <x:c r="N56" s="65" t="str">
        <x:v>La matrice non conserva la direzione originaria Helps/Helped by del dataset GitHub.</x:v>
      </x:c>
    </x:row>
    <x:row r="57" ht="15" hidden="0" customHeight="1">
      <x:c r="A57" s="65" t="str">
        <x:v>brassicas__peas</x:v>
      </x:c>
      <x:c r="B57" s="65" t="str">
        <x:v>brassicas</x:v>
      </x:c>
      <x:c r="C57" s="65" t="str">
        <x:v>Brassicacee (gruppo)</x:v>
      </x:c>
      <x:c r="D57" s="65" t="str">
        <x:v>Brassicas</x:v>
      </x:c>
      <x:c r="E57" s="65" t="str">
        <x:v>peas</x:v>
      </x:c>
      <x:c r="F57" s="65" t="str">
        <x:v>Pisello</x:v>
      </x:c>
      <x:c r="G57" s="65" t="str">
        <x:v>Peas</x:v>
      </x:c>
      <x:c r="H57" s="65" t="str">
        <x:v>B</x:v>
      </x:c>
      <x:c r="I57" s="65" t="str">
        <x:v>Favorevole</x:v>
      </x:c>
      <x:c r="J57" s="65" t="str">
        <x:v>Simmetrica nella matrice</x:v>
      </x:c>
      <x:c r="K57" s="65" t="str">
        <x:v>Matrice integrata GitHub/Wikipedia e/o Orto Mio</x:v>
      </x:c>
      <x:c r="L57" s="65" t="str">
        <x:v>Non classificata scientificamente nel file</x:v>
      </x:c>
      <x:c r="M57" s="65" t="str">
        <x:v>Preferenza agronomica; non vincolo rigido</x:v>
      </x:c>
      <x:c r="N57" s="65" t="str">
        <x:v>La matrice non conserva la direzione originaria Helps/Helped by del dataset GitHub.</x:v>
      </x:c>
    </x:row>
    <x:row r="58" ht="15" hidden="0" customHeight="1">
      <x:c r="A58" s="65" t="str">
        <x:v>brassicas__peppers</x:v>
      </x:c>
      <x:c r="B58" s="65" t="str">
        <x:v>brassicas</x:v>
      </x:c>
      <x:c r="C58" s="65" t="str">
        <x:v>Brassicacee (gruppo)</x:v>
      </x:c>
      <x:c r="D58" s="65" t="str">
        <x:v>Brassicas</x:v>
      </x:c>
      <x:c r="E58" s="65" t="str">
        <x:v>peppers</x:v>
      </x:c>
      <x:c r="F58" s="65" t="str">
        <x:v>Peperone</x:v>
      </x:c>
      <x:c r="G58" s="65" t="str">
        <x:v>Peppers</x:v>
      </x:c>
      <x:c r="H58" s="65" t="str">
        <x:v>C</x:v>
      </x:c>
      <x:c r="I58" s="65" t="str">
        <x:v>Da evitare</x:v>
      </x:c>
      <x:c r="J58" s="65" t="str">
        <x:v>Simmetrica nella matrice</x:v>
      </x:c>
      <x:c r="K58" s="65" t="str">
        <x:v>GitHub/Wikipedia (Orto Mio riporta soltanto relazioni favorevoli)</x:v>
      </x:c>
      <x:c r="L58" s="65" t="str">
        <x:v>Non classificata scientificamente nel file</x:v>
      </x:c>
      <x:c r="M58" s="65" t="str">
        <x:v>Avviso forte; non divieto assoluto</x:v>
      </x:c>
      <x:c r="N58" s="65" t="str">
        <x:v>La matrice non conserva la direzione originaria Helps/Helped by del dataset GitHub.</x:v>
      </x:c>
    </x:row>
    <x:row r="59" ht="15" hidden="0" customHeight="1">
      <x:c r="A59" s="65" t="str">
        <x:v>brassicas__potato</x:v>
      </x:c>
      <x:c r="B59" s="65" t="str">
        <x:v>brassicas</x:v>
      </x:c>
      <x:c r="C59" s="65" t="str">
        <x:v>Brassicacee (gruppo)</x:v>
      </x:c>
      <x:c r="D59" s="65" t="str">
        <x:v>Brassicas</x:v>
      </x:c>
      <x:c r="E59" s="65" t="str">
        <x:v>potato</x:v>
      </x:c>
      <x:c r="F59" s="65" t="str">
        <x:v>Patata</x:v>
      </x:c>
      <x:c r="G59" s="65" t="str">
        <x:v>Potato</x:v>
      </x:c>
      <x:c r="H59" s="65" t="str">
        <x:v>B</x:v>
      </x:c>
      <x:c r="I59" s="65" t="str">
        <x:v>Favorevole</x:v>
      </x:c>
      <x:c r="J59" s="65" t="str">
        <x:v>Simmetrica nella matrice</x:v>
      </x:c>
      <x:c r="K59" s="65" t="str">
        <x:v>Matrice integrata GitHub/Wikipedia e/o Orto Mio</x:v>
      </x:c>
      <x:c r="L59" s="65" t="str">
        <x:v>Non classificata scientificamente nel file</x:v>
      </x:c>
      <x:c r="M59" s="65" t="str">
        <x:v>Preferenza agronomica; non vincolo rigido</x:v>
      </x:c>
      <x:c r="N59" s="65" t="str">
        <x:v>La matrice non conserva la direzione originaria Helps/Helped by del dataset GitHub.</x:v>
      </x:c>
    </x:row>
    <x:row r="60" ht="15" hidden="0" customHeight="1">
      <x:c r="A60" s="65" t="str">
        <x:v>brassicas__spinach</x:v>
      </x:c>
      <x:c r="B60" s="65" t="str">
        <x:v>brassicas</x:v>
      </x:c>
      <x:c r="C60" s="65" t="str">
        <x:v>Brassicacee (gruppo)</x:v>
      </x:c>
      <x:c r="D60" s="65" t="str">
        <x:v>Brassicas</x:v>
      </x:c>
      <x:c r="E60" s="65" t="str">
        <x:v>spinach</x:v>
      </x:c>
      <x:c r="F60" s="65" t="str">
        <x:v>Spinacio</x:v>
      </x:c>
      <x:c r="G60" s="65" t="str">
        <x:v>Spinach</x:v>
      </x:c>
      <x:c r="H60" s="65" t="str">
        <x:v>B</x:v>
      </x:c>
      <x:c r="I60" s="65" t="str">
        <x:v>Favorevole</x:v>
      </x:c>
      <x:c r="J60" s="65" t="str">
        <x:v>Simmetrica nella matrice</x:v>
      </x:c>
      <x:c r="K60" s="65" t="str">
        <x:v>Matrice integrata GitHub/Wikipedia e/o Orto Mio</x:v>
      </x:c>
      <x:c r="L60" s="65" t="str">
        <x:v>Non classificata scientificamente nel file</x:v>
      </x:c>
      <x:c r="M60" s="65" t="str">
        <x:v>Preferenza agronomica; non vincolo rigido</x:v>
      </x:c>
      <x:c r="N60" s="65" t="str">
        <x:v>La matrice non conserva la direzione originaria Helps/Helped by del dataset GitHub.</x:v>
      </x:c>
    </x:row>
    <x:row r="61" ht="15" hidden="0" customHeight="1">
      <x:c r="A61" s="65" t="str">
        <x:v>brassicas__tomatoes</x:v>
      </x:c>
      <x:c r="B61" s="65" t="str">
        <x:v>brassicas</x:v>
      </x:c>
      <x:c r="C61" s="65" t="str">
        <x:v>Brassicacee (gruppo)</x:v>
      </x:c>
      <x:c r="D61" s="65" t="str">
        <x:v>Brassicas</x:v>
      </x:c>
      <x:c r="E61" s="65" t="str">
        <x:v>tomatoes</x:v>
      </x:c>
      <x:c r="F61" s="65" t="str">
        <x:v>Pomodoro</x:v>
      </x:c>
      <x:c r="G61" s="65" t="str">
        <x:v>Tomatoes</x:v>
      </x:c>
      <x:c r="H61" s="65" t="str">
        <x:v>M</x:v>
      </x:c>
      <x:c r="I61" s="65" t="str">
        <x:v>Mista / fonti discordanti</x:v>
      </x:c>
      <x:c r="J61" s="65" t="str">
        <x:v>Simmetrica nella matrice</x:v>
      </x:c>
      <x:c r="K61" s="65" t="str">
        <x:v>GitHub/Wikipedia + Orto Mio (fonti discordanti)</x:v>
      </x:c>
      <x:c r="L61" s="65" t="str">
        <x:v>Non classificata scientificamente nel file</x:v>
      </x:c>
      <x:c r="M61" s="65" t="str">
        <x:v>Solo informativa; non usare per la disposizione automatica</x:v>
      </x:c>
      <x:c r="N61" s="65" t="str">
        <x:v>La matrice non conserva la direzione originaria Helps/Helped by del dataset GitHub.</x:v>
      </x:c>
    </x:row>
    <x:row r="62" ht="15" hidden="0" customHeight="1">
      <x:c r="A62" s="65" t="str">
        <x:v>broccoli__lettuce</x:v>
      </x:c>
      <x:c r="B62" s="65" t="str">
        <x:v>broccoli</x:v>
      </x:c>
      <x:c r="C62" s="65" t="str">
        <x:v>Broccolo</x:v>
      </x:c>
      <x:c r="D62" s="65" t="str">
        <x:v>Broccoli</x:v>
      </x:c>
      <x:c r="E62" s="65" t="str">
        <x:v>lettuce</x:v>
      </x:c>
      <x:c r="F62" s="65" t="str">
        <x:v>Lattuga</x:v>
      </x:c>
      <x:c r="G62" s="65" t="str">
        <x:v>Lettuce</x:v>
      </x:c>
      <x:c r="H62" s="65" t="str">
        <x:v>B</x:v>
      </x:c>
      <x:c r="I62" s="65" t="str">
        <x:v>Favorevole</x:v>
      </x:c>
      <x:c r="J62" s="65" t="str">
        <x:v>Simmetrica nella matrice</x:v>
      </x:c>
      <x:c r="K62" s="65" t="str">
        <x:v>Matrice integrata GitHub/Wikipedia e/o Orto Mio</x:v>
      </x:c>
      <x:c r="L62" s="65" t="str">
        <x:v>Non classificata scientificamente nel file</x:v>
      </x:c>
      <x:c r="M62" s="65" t="str">
        <x:v>Preferenza agronomica; non vincolo rigido</x:v>
      </x:c>
      <x:c r="N62" s="65" t="str">
        <x:v>La matrice non conserva la direzione originaria Helps/Helped by del dataset GitHub.</x:v>
      </x:c>
    </x:row>
    <x:row r="63" ht="15" hidden="0" customHeight="1">
      <x:c r="A63" s="65" t="str">
        <x:v>broccoli__mustard</x:v>
      </x:c>
      <x:c r="B63" s="65" t="str">
        <x:v>broccoli</x:v>
      </x:c>
      <x:c r="C63" s="65" t="str">
        <x:v>Broccolo</x:v>
      </x:c>
      <x:c r="D63" s="65" t="str">
        <x:v>Broccoli</x:v>
      </x:c>
      <x:c r="E63" s="65" t="str">
        <x:v>mustard</x:v>
      </x:c>
      <x:c r="F63" s="65" t="str">
        <x:v>Senape</x:v>
      </x:c>
      <x:c r="G63" s="65" t="str">
        <x:v>Mustard</x:v>
      </x:c>
      <x:c r="H63" s="65" t="str">
        <x:v>B</x:v>
      </x:c>
      <x:c r="I63" s="65" t="str">
        <x:v>Favorevole</x:v>
      </x:c>
      <x:c r="J63" s="65" t="str">
        <x:v>Simmetrica nella matrice</x:v>
      </x:c>
      <x:c r="K63" s="65" t="str">
        <x:v>Matrice integrata GitHub/Wikipedia e/o Orto Mio</x:v>
      </x:c>
      <x:c r="L63" s="65" t="str">
        <x:v>Non classificata scientificamente nel file</x:v>
      </x:c>
      <x:c r="M63" s="65" t="str">
        <x:v>Preferenza agronomica; non vincolo rigido</x:v>
      </x:c>
      <x:c r="N63" s="65" t="str">
        <x:v>La matrice non conserva la direzione originaria Helps/Helped by del dataset GitHub.</x:v>
      </x:c>
    </x:row>
    <x:row r="64" ht="15" hidden="0" customHeight="1">
      <x:c r="A64" s="65" t="str">
        <x:v>broccoli__onion</x:v>
      </x:c>
      <x:c r="B64" s="65" t="str">
        <x:v>broccoli</x:v>
      </x:c>
      <x:c r="C64" s="65" t="str">
        <x:v>Broccolo</x:v>
      </x:c>
      <x:c r="D64" s="65" t="str">
        <x:v>Broccoli</x:v>
      </x:c>
      <x:c r="E64" s="65" t="str">
        <x:v>onion</x:v>
      </x:c>
      <x:c r="F64" s="65" t="str">
        <x:v>Cipolla</x:v>
      </x:c>
      <x:c r="G64" s="65" t="str">
        <x:v>Onion</x:v>
      </x:c>
      <x:c r="H64" s="65" t="str">
        <x:v>B</x:v>
      </x:c>
      <x:c r="I64" s="65" t="str">
        <x:v>Favorevole</x:v>
      </x:c>
      <x:c r="J64" s="65" t="str">
        <x:v>Simmetrica nella matrice</x:v>
      </x:c>
      <x:c r="K64" s="65" t="str">
        <x:v>Matrice integrata GitHub/Wikipedia e/o Orto Mio</x:v>
      </x:c>
      <x:c r="L64" s="65" t="str">
        <x:v>Non classificata scientificamente nel file</x:v>
      </x:c>
      <x:c r="M64" s="65" t="str">
        <x:v>Preferenza agronomica; non vincolo rigido</x:v>
      </x:c>
      <x:c r="N64" s="65" t="str">
        <x:v>La matrice non conserva la direzione originaria Helps/Helped by del dataset GitHub.</x:v>
      </x:c>
    </x:row>
    <x:row r="65" ht="15" hidden="0" customHeight="1">
      <x:c r="A65" s="65" t="str">
        <x:v>broccoli__tomatoes</x:v>
      </x:c>
      <x:c r="B65" s="65" t="str">
        <x:v>broccoli</x:v>
      </x:c>
      <x:c r="C65" s="65" t="str">
        <x:v>Broccolo</x:v>
      </x:c>
      <x:c r="D65" s="65" t="str">
        <x:v>Broccoli</x:v>
      </x:c>
      <x:c r="E65" s="65" t="str">
        <x:v>tomatoes</x:v>
      </x:c>
      <x:c r="F65" s="65" t="str">
        <x:v>Pomodoro</x:v>
      </x:c>
      <x:c r="G65" s="65" t="str">
        <x:v>Tomatoes</x:v>
      </x:c>
      <x:c r="H65" s="65" t="str">
        <x:v>B</x:v>
      </x:c>
      <x:c r="I65" s="65" t="str">
        <x:v>Favorevole</x:v>
      </x:c>
      <x:c r="J65" s="65" t="str">
        <x:v>Simmetrica nella matrice</x:v>
      </x:c>
      <x:c r="K65" s="65" t="str">
        <x:v>Matrice integrata GitHub/Wikipedia e/o Orto Mio</x:v>
      </x:c>
      <x:c r="L65" s="65" t="str">
        <x:v>Non classificata scientificamente nel file</x:v>
      </x:c>
      <x:c r="M65" s="65" t="str">
        <x:v>Preferenza agronomica; non vincolo rigido</x:v>
      </x:c>
      <x:c r="N65" s="65" t="str">
        <x:v>La matrice non conserva la direzione originaria Helps/Helped by del dataset GitHub.</x:v>
      </x:c>
    </x:row>
    <x:row r="66" ht="15" hidden="0" customHeight="1">
      <x:c r="A66" s="65" t="str">
        <x:v>broccoli__turnips_and_rutabagas</x:v>
      </x:c>
      <x:c r="B66" s="65" t="str">
        <x:v>broccoli</x:v>
      </x:c>
      <x:c r="C66" s="65" t="str">
        <x:v>Broccolo</x:v>
      </x:c>
      <x:c r="D66" s="65" t="str">
        <x:v>Broccoli</x:v>
      </x:c>
      <x:c r="E66" s="65" t="str">
        <x:v>turnips_and_rutabagas</x:v>
      </x:c>
      <x:c r="F66" s="65" t="str">
        <x:v>Rapa e rutabaga</x:v>
      </x:c>
      <x:c r="G66" s="65" t="str">
        <x:v>Turnips and rutabagas</x:v>
      </x:c>
      <x:c r="H66" s="65" t="str">
        <x:v>B</x:v>
      </x:c>
      <x:c r="I66" s="65" t="str">
        <x:v>Favorevole</x:v>
      </x:c>
      <x:c r="J66" s="65" t="str">
        <x:v>Simmetrica nella matrice</x:v>
      </x:c>
      <x:c r="K66" s="65" t="str">
        <x:v>Matrice integrata GitHub/Wikipedia e/o Orto Mio</x:v>
      </x:c>
      <x:c r="L66" s="65" t="str">
        <x:v>Non classificata scientificamente nel file</x:v>
      </x:c>
      <x:c r="M66" s="65" t="str">
        <x:v>Preferenza agronomica; non vincolo rigido</x:v>
      </x:c>
      <x:c r="N66" s="65" t="str">
        <x:v>La matrice non conserva la direzione originaria Helps/Helped by del dataset GitHub.</x:v>
      </x:c>
    </x:row>
    <x:row r="67" ht="15" hidden="0" customHeight="1">
      <x:c r="A67" s="65" t="str">
        <x:v>brussels_sprouts__mustard</x:v>
      </x:c>
      <x:c r="B67" s="65" t="str">
        <x:v>brussels_sprouts</x:v>
      </x:c>
      <x:c r="C67" s="65" t="str">
        <x:v>Cavoletti di Bruxelles</x:v>
      </x:c>
      <x:c r="D67" s="65" t="str">
        <x:v>Brussels sprouts</x:v>
      </x:c>
      <x:c r="E67" s="65" t="str">
        <x:v>mustard</x:v>
      </x:c>
      <x:c r="F67" s="65" t="str">
        <x:v>Senape</x:v>
      </x:c>
      <x:c r="G67" s="65" t="str">
        <x:v>Mustard</x:v>
      </x:c>
      <x:c r="H67" s="65" t="str">
        <x:v>B</x:v>
      </x:c>
      <x:c r="I67" s="65" t="str">
        <x:v>Favorevole</x:v>
      </x:c>
      <x:c r="J67" s="65" t="str">
        <x:v>Simmetrica nella matrice</x:v>
      </x:c>
      <x:c r="K67" s="65" t="str">
        <x:v>Matrice integrata GitHub/Wikipedia e/o Orto Mio</x:v>
      </x:c>
      <x:c r="L67" s="65" t="str">
        <x:v>Non classificata scientificamente nel file</x:v>
      </x:c>
      <x:c r="M67" s="65" t="str">
        <x:v>Preferenza agronomica; non vincolo rigido</x:v>
      </x:c>
      <x:c r="N67" s="65" t="str">
        <x:v>La matrice non conserva la direzione originaria Helps/Helped by del dataset GitHub.</x:v>
      </x:c>
    </x:row>
    <x:row r="68" ht="15" hidden="0" customHeight="1">
      <x:c r="A68" s="65" t="str">
        <x:v>brussels_sprouts__peppers</x:v>
      </x:c>
      <x:c r="B68" s="65" t="str">
        <x:v>brussels_sprouts</x:v>
      </x:c>
      <x:c r="C68" s="65" t="str">
        <x:v>Cavoletti di Bruxelles</x:v>
      </x:c>
      <x:c r="D68" s="65" t="str">
        <x:v>Brussels sprouts</x:v>
      </x:c>
      <x:c r="E68" s="65" t="str">
        <x:v>peppers</x:v>
      </x:c>
      <x:c r="F68" s="65" t="str">
        <x:v>Peperone</x:v>
      </x:c>
      <x:c r="G68" s="65" t="str">
        <x:v>Peppers</x:v>
      </x:c>
      <x:c r="H68" s="65" t="str">
        <x:v>C</x:v>
      </x:c>
      <x:c r="I68" s="65" t="str">
        <x:v>Da evitare</x:v>
      </x:c>
      <x:c r="J68" s="65" t="str">
        <x:v>Simmetrica nella matrice</x:v>
      </x:c>
      <x:c r="K68" s="65" t="str">
        <x:v>GitHub/Wikipedia (Orto Mio riporta soltanto relazioni favorevoli)</x:v>
      </x:c>
      <x:c r="L68" s="65" t="str">
        <x:v>Non classificata scientificamente nel file</x:v>
      </x:c>
      <x:c r="M68" s="65" t="str">
        <x:v>Avviso forte; non divieto assoluto</x:v>
      </x:c>
      <x:c r="N68" s="65" t="str">
        <x:v>La matrice non conserva la direzione originaria Helps/Helped by del dataset GitHub.</x:v>
      </x:c>
    </x:row>
    <x:row r="69" ht="15" hidden="0" customHeight="1">
      <x:c r="A69" s="65" t="str">
        <x:v>cabbage__cauliflower</x:v>
      </x:c>
      <x:c r="B69" s="65" t="str">
        <x:v>cabbage</x:v>
      </x:c>
      <x:c r="C69" s="65" t="str">
        <x:v>Cavolo</x:v>
      </x:c>
      <x:c r="D69" s="65" t="str">
        <x:v>Cabbage</x:v>
      </x:c>
      <x:c r="E69" s="65" t="str">
        <x:v>cauliflower</x:v>
      </x:c>
      <x:c r="F69" s="65" t="str">
        <x:v>Cavolfiore</x:v>
      </x:c>
      <x:c r="G69" s="65" t="str">
        <x:v>Cauliflower</x:v>
      </x:c>
      <x:c r="H69" s="65" t="str">
        <x:v>B</x:v>
      </x:c>
      <x:c r="I69" s="65" t="str">
        <x:v>Favorevole</x:v>
      </x:c>
      <x:c r="J69" s="65" t="str">
        <x:v>Simmetrica nella matrice</x:v>
      </x:c>
      <x:c r="K69" s="65" t="str">
        <x:v>Matrice integrata GitHub/Wikipedia e/o Orto Mio</x:v>
      </x:c>
      <x:c r="L69" s="65" t="str">
        <x:v>Non classificata scientificamente nel file</x:v>
      </x:c>
      <x:c r="M69" s="65" t="str">
        <x:v>Preferenza agronomica; non vincolo rigido</x:v>
      </x:c>
      <x:c r="N69" s="65" t="str">
        <x:v>La matrice non conserva la direzione originaria Helps/Helped by del dataset GitHub.</x:v>
      </x:c>
    </x:row>
    <x:row r="70" ht="15" hidden="0" customHeight="1">
      <x:c r="A70" s="65" t="str">
        <x:v>cabbage__celery</x:v>
      </x:c>
      <x:c r="B70" s="65" t="str">
        <x:v>cabbage</x:v>
      </x:c>
      <x:c r="C70" s="65" t="str">
        <x:v>Cavolo</x:v>
      </x:c>
      <x:c r="D70" s="65" t="str">
        <x:v>Cabbage</x:v>
      </x:c>
      <x:c r="E70" s="65" t="str">
        <x:v>celery</x:v>
      </x:c>
      <x:c r="F70" s="65" t="str">
        <x:v>Sedano</x:v>
      </x:c>
      <x:c r="G70" s="65" t="str">
        <x:v>Celery</x:v>
      </x:c>
      <x:c r="H70" s="65" t="str">
        <x:v>B</x:v>
      </x:c>
      <x:c r="I70" s="65" t="str">
        <x:v>Favorevole</x:v>
      </x:c>
      <x:c r="J70" s="65" t="str">
        <x:v>Simmetrica nella matrice</x:v>
      </x:c>
      <x:c r="K70" s="65" t="str">
        <x:v>Matrice integrata GitHub/Wikipedia e/o Orto Mio</x:v>
      </x:c>
      <x:c r="L70" s="65" t="str">
        <x:v>Non classificata scientificamente nel file</x:v>
      </x:c>
      <x:c r="M70" s="65" t="str">
        <x:v>Preferenza agronomica; non vincolo rigido</x:v>
      </x:c>
      <x:c r="N70" s="65" t="str">
        <x:v>La matrice non conserva la direzione originaria Helps/Helped by del dataset GitHub.</x:v>
      </x:c>
    </x:row>
    <x:row r="71" ht="15" hidden="0" customHeight="1">
      <x:c r="A71" s="65" t="str">
        <x:v>cabbage__chard</x:v>
      </x:c>
      <x:c r="B71" s="65" t="str">
        <x:v>cabbage</x:v>
      </x:c>
      <x:c r="C71" s="65" t="str">
        <x:v>Cavolo</x:v>
      </x:c>
      <x:c r="D71" s="65" t="str">
        <x:v>Cabbage</x:v>
      </x:c>
      <x:c r="E71" s="65" t="str">
        <x:v>chard</x:v>
      </x:c>
      <x:c r="F71" s="65" t="str">
        <x:v>Bietola</x:v>
      </x:c>
      <x:c r="G71" s="65" t="str">
        <x:v>Chard</x:v>
      </x:c>
      <x:c r="H71" s="65" t="str">
        <x:v>B</x:v>
      </x:c>
      <x:c r="I71" s="65" t="str">
        <x:v>Favorevole</x:v>
      </x:c>
      <x:c r="J71" s="65" t="str">
        <x:v>Simmetrica nella matrice</x:v>
      </x:c>
      <x:c r="K71" s="65" t="str">
        <x:v>Orto Mio; possibile presenza anche nel dataset GitHub/Wikipedia</x:v>
      </x:c>
      <x:c r="L71" s="65" t="str">
        <x:v>Non classificata scientificamente nel file</x:v>
      </x:c>
      <x:c r="M71" s="65" t="str">
        <x:v>Preferenza agronomica; non vincolo rigido</x:v>
      </x:c>
      <x:c r="N71" s="65" t="str">
        <x:v>La matrice non conserva la direzione originaria Helps/Helped by del dataset GitHub.</x:v>
      </x:c>
    </x:row>
    <x:row r="72" ht="15" hidden="0" customHeight="1">
      <x:c r="A72" s="65" t="str">
        <x:v>cabbage__eggplant_or_aubergine</x:v>
      </x:c>
      <x:c r="B72" s="65" t="str">
        <x:v>cabbage</x:v>
      </x:c>
      <x:c r="C72" s="65" t="str">
        <x:v>Cavolo</x:v>
      </x:c>
      <x:c r="D72" s="65" t="str">
        <x:v>Cabbage</x:v>
      </x:c>
      <x:c r="E72" s="65" t="str">
        <x:v>eggplant_or_aubergine</x:v>
      </x:c>
      <x:c r="F72" s="65" t="str">
        <x:v>Melanzana</x:v>
      </x:c>
      <x:c r="G72" s="65" t="str">
        <x:v>Eggplant or Aubergine</x:v>
      </x:c>
      <x:c r="H72" s="65" t="str">
        <x:v>B</x:v>
      </x:c>
      <x:c r="I72" s="65" t="str">
        <x:v>Favorevole</x:v>
      </x:c>
      <x:c r="J72" s="65" t="str">
        <x:v>Simmetrica nella matrice</x:v>
      </x:c>
      <x:c r="K72" s="65" t="str">
        <x:v>Orto Mio; possibile presenza anche nel dataset GitHub/Wikipedia</x:v>
      </x:c>
      <x:c r="L72" s="65" t="str">
        <x:v>Non classificata scientificamente nel file</x:v>
      </x:c>
      <x:c r="M72" s="65" t="str">
        <x:v>Preferenza agronomica; non vincolo rigido</x:v>
      </x:c>
      <x:c r="N72" s="65" t="str">
        <x:v>La matrice non conserva la direzione originaria Helps/Helped by del dataset GitHub.</x:v>
      </x:c>
    </x:row>
    <x:row r="73" ht="15" hidden="0" customHeight="1">
      <x:c r="A73" s="65" t="str">
        <x:v>cabbage__leek</x:v>
      </x:c>
      <x:c r="B73" s="65" t="str">
        <x:v>cabbage</x:v>
      </x:c>
      <x:c r="C73" s="65" t="str">
        <x:v>Cavolo</x:v>
      </x:c>
      <x:c r="D73" s="65" t="str">
        <x:v>Cabbage</x:v>
      </x:c>
      <x:c r="E73" s="65" t="str">
        <x:v>leek</x:v>
      </x:c>
      <x:c r="F73" s="65" t="str">
        <x:v>Porro</x:v>
      </x:c>
      <x:c r="G73" s="65" t="str">
        <x:v>Leek</x:v>
      </x:c>
      <x:c r="H73" s="65" t="str">
        <x:v>B</x:v>
      </x:c>
      <x:c r="I73" s="65" t="str">
        <x:v>Favorevole</x:v>
      </x:c>
      <x:c r="J73" s="65" t="str">
        <x:v>Simmetrica nella matrice</x:v>
      </x:c>
      <x:c r="K73" s="65" t="str">
        <x:v>Orto Mio; possibile presenza anche nel dataset GitHub/Wikipedia</x:v>
      </x:c>
      <x:c r="L73" s="65" t="str">
        <x:v>Non classificata scientificamente nel file</x:v>
      </x:c>
      <x:c r="M73" s="65" t="str">
        <x:v>Preferenza agronomica; non vincolo rigido</x:v>
      </x:c>
      <x:c r="N73" s="65" t="str">
        <x:v>La matrice non conserva la direzione originaria Helps/Helped by del dataset GitHub.</x:v>
      </x:c>
    </x:row>
    <x:row r="74" ht="15" hidden="0" customHeight="1">
      <x:c r="A74" s="65" t="str">
        <x:v>cabbage__legumes</x:v>
      </x:c>
      <x:c r="B74" s="65" t="str">
        <x:v>cabbage</x:v>
      </x:c>
      <x:c r="C74" s="65" t="str">
        <x:v>Cavolo</x:v>
      </x:c>
      <x:c r="D74" s="65" t="str">
        <x:v>Cabbage</x:v>
      </x:c>
      <x:c r="E74" s="65" t="str">
        <x:v>legumes</x:v>
      </x:c>
      <x:c r="F74" s="65" t="str">
        <x:v>Leguminose (gruppo)</x:v>
      </x:c>
      <x:c r="G74" s="65" t="str">
        <x:v>Legumes</x:v>
      </x:c>
      <x:c r="H74" s="65" t="str">
        <x:v>B</x:v>
      </x:c>
      <x:c r="I74" s="65" t="str">
        <x:v>Favorevole</x:v>
      </x:c>
      <x:c r="J74" s="65" t="str">
        <x:v>Simmetrica nella matrice</x:v>
      </x:c>
      <x:c r="K74" s="65" t="str">
        <x:v>Orto Mio; possibile presenza anche nel dataset GitHub/Wikipedia</x:v>
      </x:c>
      <x:c r="L74" s="65" t="str">
        <x:v>Non classificata scientificamente nel file</x:v>
      </x:c>
      <x:c r="M74" s="65" t="str">
        <x:v>Preferenza agronomica; non vincolo rigido</x:v>
      </x:c>
      <x:c r="N74" s="65" t="str">
        <x:v>La matrice non conserva la direzione originaria Helps/Helped by del dataset GitHub.</x:v>
      </x:c>
    </x:row>
    <x:row r="75" ht="15" hidden="0" customHeight="1">
      <x:c r="A75" s="65" t="str">
        <x:v>cabbage__lettuce</x:v>
      </x:c>
      <x:c r="B75" s="65" t="str">
        <x:v>cabbage</x:v>
      </x:c>
      <x:c r="C75" s="65" t="str">
        <x:v>Cavolo</x:v>
      </x:c>
      <x:c r="D75" s="65" t="str">
        <x:v>Cabbage</x:v>
      </x:c>
      <x:c r="E75" s="65" t="str">
        <x:v>lettuce</x:v>
      </x:c>
      <x:c r="F75" s="65" t="str">
        <x:v>Lattuga</x:v>
      </x:c>
      <x:c r="G75" s="65" t="str">
        <x:v>Lettuce</x:v>
      </x:c>
      <x:c r="H75" s="65" t="str">
        <x:v>M</x:v>
      </x:c>
      <x:c r="I75" s="65" t="str">
        <x:v>Mista / fonti discordanti</x:v>
      </x:c>
      <x:c r="J75" s="65" t="str">
        <x:v>Simmetrica nella matrice</x:v>
      </x:c>
      <x:c r="K75" s="65" t="str">
        <x:v>GitHub/Wikipedia + Orto Mio (fonti discordanti)</x:v>
      </x:c>
      <x:c r="L75" s="65" t="str">
        <x:v>Non classificata scientificamente nel file</x:v>
      </x:c>
      <x:c r="M75" s="65" t="str">
        <x:v>Solo informativa; non usare per la disposizione automatica</x:v>
      </x:c>
      <x:c r="N75" s="65" t="str">
        <x:v>La matrice non conserva la direzione originaria Helps/Helped by del dataset GitHub.</x:v>
      </x:c>
    </x:row>
    <x:row r="76" ht="15" hidden="0" customHeight="1">
      <x:c r="A76" s="65" t="str">
        <x:v>cabbage__mustard</x:v>
      </x:c>
      <x:c r="B76" s="65" t="str">
        <x:v>cabbage</x:v>
      </x:c>
      <x:c r="C76" s="65" t="str">
        <x:v>Cavolo</x:v>
      </x:c>
      <x:c r="D76" s="65" t="str">
        <x:v>Cabbage</x:v>
      </x:c>
      <x:c r="E76" s="65" t="str">
        <x:v>mustard</x:v>
      </x:c>
      <x:c r="F76" s="65" t="str">
        <x:v>Senape</x:v>
      </x:c>
      <x:c r="G76" s="65" t="str">
        <x:v>Mustard</x:v>
      </x:c>
      <x:c r="H76" s="65" t="str">
        <x:v>B</x:v>
      </x:c>
      <x:c r="I76" s="65" t="str">
        <x:v>Favorevole</x:v>
      </x:c>
      <x:c r="J76" s="65" t="str">
        <x:v>Simmetrica nella matrice</x:v>
      </x:c>
      <x:c r="K76" s="65" t="str">
        <x:v>Matrice integrata GitHub/Wikipedia e/o Orto Mio</x:v>
      </x:c>
      <x:c r="L76" s="65" t="str">
        <x:v>Non classificata scientificamente nel file</x:v>
      </x:c>
      <x:c r="M76" s="65" t="str">
        <x:v>Preferenza agronomica; non vincolo rigido</x:v>
      </x:c>
      <x:c r="N76" s="65" t="str">
        <x:v>La matrice non conserva la direzione originaria Helps/Helped by del dataset GitHub.</x:v>
      </x:c>
    </x:row>
    <x:row r="77" ht="15" hidden="0" customHeight="1">
      <x:c r="A77" s="65" t="str">
        <x:v>cabbage__onion</x:v>
      </x:c>
      <x:c r="B77" s="65" t="str">
        <x:v>cabbage</x:v>
      </x:c>
      <x:c r="C77" s="65" t="str">
        <x:v>Cavolo</x:v>
      </x:c>
      <x:c r="D77" s="65" t="str">
        <x:v>Cabbage</x:v>
      </x:c>
      <x:c r="E77" s="65" t="str">
        <x:v>onion</x:v>
      </x:c>
      <x:c r="F77" s="65" t="str">
        <x:v>Cipolla</x:v>
      </x:c>
      <x:c r="G77" s="65" t="str">
        <x:v>Onion</x:v>
      </x:c>
      <x:c r="H77" s="65" t="str">
        <x:v>B</x:v>
      </x:c>
      <x:c r="I77" s="65" t="str">
        <x:v>Favorevole</x:v>
      </x:c>
      <x:c r="J77" s="65" t="str">
        <x:v>Simmetrica nella matrice</x:v>
      </x:c>
      <x:c r="K77" s="65" t="str">
        <x:v>Matrice integrata GitHub/Wikipedia e/o Orto Mio</x:v>
      </x:c>
      <x:c r="L77" s="65" t="str">
        <x:v>Non classificata scientificamente nel file</x:v>
      </x:c>
      <x:c r="M77" s="65" t="str">
        <x:v>Preferenza agronomica; non vincolo rigido</x:v>
      </x:c>
      <x:c r="N77" s="65" t="str">
        <x:v>La matrice non conserva la direzione originaria Helps/Helped by del dataset GitHub.</x:v>
      </x:c>
    </x:row>
    <x:row r="78" ht="15" hidden="0" customHeight="1">
      <x:c r="A78" s="65" t="str">
        <x:v>cabbage__peas</x:v>
      </x:c>
      <x:c r="B78" s="65" t="str">
        <x:v>cabbage</x:v>
      </x:c>
      <x:c r="C78" s="65" t="str">
        <x:v>Cavolo</x:v>
      </x:c>
      <x:c r="D78" s="65" t="str">
        <x:v>Cabbage</x:v>
      </x:c>
      <x:c r="E78" s="65" t="str">
        <x:v>peas</x:v>
      </x:c>
      <x:c r="F78" s="65" t="str">
        <x:v>Pisello</x:v>
      </x:c>
      <x:c r="G78" s="65" t="str">
        <x:v>Peas</x:v>
      </x:c>
      <x:c r="H78" s="65" t="str">
        <x:v>B</x:v>
      </x:c>
      <x:c r="I78" s="65" t="str">
        <x:v>Favorevole</x:v>
      </x:c>
      <x:c r="J78" s="65" t="str">
        <x:v>Simmetrica nella matrice</x:v>
      </x:c>
      <x:c r="K78" s="65" t="str">
        <x:v>Orto Mio; possibile presenza anche nel dataset GitHub/Wikipedia</x:v>
      </x:c>
      <x:c r="L78" s="65" t="str">
        <x:v>Non classificata scientificamente nel file</x:v>
      </x:c>
      <x:c r="M78" s="65" t="str">
        <x:v>Preferenza agronomica; non vincolo rigido</x:v>
      </x:c>
      <x:c r="N78" s="65" t="str">
        <x:v>La matrice non conserva la direzione originaria Helps/Helped by del dataset GitHub.</x:v>
      </x:c>
    </x:row>
    <x:row r="79" ht="15" hidden="0" customHeight="1">
      <x:c r="A79" s="65" t="str">
        <x:v>cabbage__peppers</x:v>
      </x:c>
      <x:c r="B79" s="65" t="str">
        <x:v>cabbage</x:v>
      </x:c>
      <x:c r="C79" s="65" t="str">
        <x:v>Cavolo</x:v>
      </x:c>
      <x:c r="D79" s="65" t="str">
        <x:v>Cabbage</x:v>
      </x:c>
      <x:c r="E79" s="65" t="str">
        <x:v>peppers</x:v>
      </x:c>
      <x:c r="F79" s="65" t="str">
        <x:v>Peperone</x:v>
      </x:c>
      <x:c r="G79" s="65" t="str">
        <x:v>Peppers</x:v>
      </x:c>
      <x:c r="H79" s="65" t="str">
        <x:v>M</x:v>
      </x:c>
      <x:c r="I79" s="65" t="str">
        <x:v>Mista / fonti discordanti</x:v>
      </x:c>
      <x:c r="J79" s="65" t="str">
        <x:v>Simmetrica nella matrice</x:v>
      </x:c>
      <x:c r="K79" s="65" t="str">
        <x:v>GitHub/Wikipedia + Orto Mio (fonti discordanti)</x:v>
      </x:c>
      <x:c r="L79" s="65" t="str">
        <x:v>Non classificata scientificamente nel file</x:v>
      </x:c>
      <x:c r="M79" s="65" t="str">
        <x:v>Solo informativa; non usare per la disposizione automatica</x:v>
      </x:c>
      <x:c r="N79" s="65" t="str">
        <x:v>La matrice non conserva la direzione originaria Helps/Helped by del dataset GitHub.</x:v>
      </x:c>
    </x:row>
    <x:row r="80" ht="15" hidden="0" customHeight="1">
      <x:c r="A80" s="65" t="str">
        <x:v>cabbage__pumpkin</x:v>
      </x:c>
      <x:c r="B80" s="65" t="str">
        <x:v>cabbage</x:v>
      </x:c>
      <x:c r="C80" s="65" t="str">
        <x:v>Cavolo</x:v>
      </x:c>
      <x:c r="D80" s="65" t="str">
        <x:v>Cabbage</x:v>
      </x:c>
      <x:c r="E80" s="65" t="str">
        <x:v>pumpkin</x:v>
      </x:c>
      <x:c r="F80" s="65" t="str">
        <x:v>Zucca</x:v>
      </x:c>
      <x:c r="G80" s="65" t="str">
        <x:v>Pumpkin</x:v>
      </x:c>
      <x:c r="H80" s="65" t="str">
        <x:v>B</x:v>
      </x:c>
      <x:c r="I80" s="65" t="str">
        <x:v>Favorevole</x:v>
      </x:c>
      <x:c r="J80" s="65" t="str">
        <x:v>Simmetrica nella matrice</x:v>
      </x:c>
      <x:c r="K80" s="65" t="str">
        <x:v>Orto Mio; possibile presenza anche nel dataset GitHub/Wikipedia</x:v>
      </x:c>
      <x:c r="L80" s="65" t="str">
        <x:v>Non classificata scientificamente nel file</x:v>
      </x:c>
      <x:c r="M80" s="65" t="str">
        <x:v>Preferenza agronomica; non vincolo rigido</x:v>
      </x:c>
      <x:c r="N80" s="65" t="str">
        <x:v>La matrice non conserva la direzione originaria Helps/Helped by del dataset GitHub.</x:v>
      </x:c>
    </x:row>
    <x:row r="81" ht="15" hidden="0" customHeight="1">
      <x:c r="A81" s="65" t="str">
        <x:v>cabbage__tomatoes</x:v>
      </x:c>
      <x:c r="B81" s="65" t="str">
        <x:v>cabbage</x:v>
      </x:c>
      <x:c r="C81" s="65" t="str">
        <x:v>Cavolo</x:v>
      </x:c>
      <x:c r="D81" s="65" t="str">
        <x:v>Cabbage</x:v>
      </x:c>
      <x:c r="E81" s="65" t="str">
        <x:v>tomatoes</x:v>
      </x:c>
      <x:c r="F81" s="65" t="str">
        <x:v>Pomodoro</x:v>
      </x:c>
      <x:c r="G81" s="65" t="str">
        <x:v>Tomatoes</x:v>
      </x:c>
      <x:c r="H81" s="65" t="str">
        <x:v>B</x:v>
      </x:c>
      <x:c r="I81" s="65" t="str">
        <x:v>Favorevole</x:v>
      </x:c>
      <x:c r="J81" s="65" t="str">
        <x:v>Simmetrica nella matrice</x:v>
      </x:c>
      <x:c r="K81" s="65" t="str">
        <x:v>Matrice integrata GitHub/Wikipedia e/o Orto Mio</x:v>
      </x:c>
      <x:c r="L81" s="65" t="str">
        <x:v>Non classificata scientificamente nel file</x:v>
      </x:c>
      <x:c r="M81" s="65" t="str">
        <x:v>Preferenza agronomica; non vincolo rigido</x:v>
      </x:c>
      <x:c r="N81" s="65" t="str">
        <x:v>La matrice non conserva la direzione originaria Helps/Helped by del dataset GitHub.</x:v>
      </x:c>
    </x:row>
    <x:row r="82" ht="15" hidden="0" customHeight="1">
      <x:c r="A82" s="65" t="str">
        <x:v>cabbage__fennel</x:v>
      </x:c>
      <x:c r="B82" s="65" t="str">
        <x:v>cabbage</x:v>
      </x:c>
      <x:c r="C82" s="65" t="str">
        <x:v>Cavolo</x:v>
      </x:c>
      <x:c r="D82" s="65" t="str">
        <x:v>Cabbage</x:v>
      </x:c>
      <x:c r="E82" s="65" t="str">
        <x:v>fennel</x:v>
      </x:c>
      <x:c r="F82" s="65" t="str">
        <x:v>Finocchio</x:v>
      </x:c>
      <x:c r="G82" s="65" t="str">
        <x:v>Fennel</x:v>
      </x:c>
      <x:c r="H82" s="65" t="str">
        <x:v>B</x:v>
      </x:c>
      <x:c r="I82" s="65" t="str">
        <x:v>Favorevole</x:v>
      </x:c>
      <x:c r="J82" s="65" t="str">
        <x:v>Simmetrica nella matrice</x:v>
      </x:c>
      <x:c r="K82" s="65" t="str">
        <x:v>Orto Mio; possibile presenza anche nel dataset GitHub/Wikipedia</x:v>
      </x:c>
      <x:c r="L82" s="65" t="str">
        <x:v>Non classificata scientificamente nel file</x:v>
      </x:c>
      <x:c r="M82" s="65" t="str">
        <x:v>Preferenza agronomica; non vincolo rigido</x:v>
      </x:c>
      <x:c r="N82" s="65" t="str">
        <x:v>La matrice non conserva la direzione originaria Helps/Helped by del dataset GitHub.</x:v>
      </x:c>
    </x:row>
    <x:row r="83" ht="15" hidden="0" customHeight="1">
      <x:c r="A83" s="65" t="str">
        <x:v>cabbage__melon</x:v>
      </x:c>
      <x:c r="B83" s="65" t="str">
        <x:v>cabbage</x:v>
      </x:c>
      <x:c r="C83" s="65" t="str">
        <x:v>Cavolo</x:v>
      </x:c>
      <x:c r="D83" s="65" t="str">
        <x:v>Cabbage</x:v>
      </x:c>
      <x:c r="E83" s="65" t="str">
        <x:v>melon</x:v>
      </x:c>
      <x:c r="F83" s="65" t="str">
        <x:v>Melone</x:v>
      </x:c>
      <x:c r="G83" s="65" t="str">
        <x:v>Melon</x:v>
      </x:c>
      <x:c r="H83" s="65" t="str">
        <x:v>B</x:v>
      </x:c>
      <x:c r="I83" s="65" t="str">
        <x:v>Favorevole</x:v>
      </x:c>
      <x:c r="J83" s="65" t="str">
        <x:v>Simmetrica nella matrice</x:v>
      </x:c>
      <x:c r="K83" s="65" t="str">
        <x:v>Orto Mio; possibile presenza anche nel dataset GitHub/Wikipedia</x:v>
      </x:c>
      <x:c r="L83" s="65" t="str">
        <x:v>Non classificata scientificamente nel file</x:v>
      </x:c>
      <x:c r="M83" s="65" t="str">
        <x:v>Preferenza agronomica; non vincolo rigido</x:v>
      </x:c>
      <x:c r="N83" s="65" t="str">
        <x:v>La matrice non conserva la direzione originaria Helps/Helped by del dataset GitHub.</x:v>
      </x:c>
    </x:row>
    <x:row r="84" ht="15" hidden="0" customHeight="1">
      <x:c r="A84" s="65" t="str">
        <x:v>carrots__cucumber</x:v>
      </x:c>
      <x:c r="B84" s="65" t="str">
        <x:v>carrots</x:v>
      </x:c>
      <x:c r="C84" s="65" t="str">
        <x:v>Carota</x:v>
      </x:c>
      <x:c r="D84" s="65" t="str">
        <x:v>Carrots</x:v>
      </x:c>
      <x:c r="E84" s="65" t="str">
        <x:v>cucumber</x:v>
      </x:c>
      <x:c r="F84" s="65" t="str">
        <x:v>Cetriolo</x:v>
      </x:c>
      <x:c r="G84" s="65" t="str">
        <x:v>Cucumber</x:v>
      </x:c>
      <x:c r="H84" s="65" t="str">
        <x:v>B</x:v>
      </x:c>
      <x:c r="I84" s="65" t="str">
        <x:v>Favorevole</x:v>
      </x:c>
      <x:c r="J84" s="65" t="str">
        <x:v>Simmetrica nella matrice</x:v>
      </x:c>
      <x:c r="K84" s="65" t="str">
        <x:v>Matrice integrata GitHub/Wikipedia e/o Orto Mio</x:v>
      </x:c>
      <x:c r="L84" s="65" t="str">
        <x:v>Non classificata scientificamente nel file</x:v>
      </x:c>
      <x:c r="M84" s="65" t="str">
        <x:v>Preferenza agronomica; non vincolo rigido</x:v>
      </x:c>
      <x:c r="N84" s="65" t="str">
        <x:v>La matrice non conserva la direzione originaria Helps/Helped by del dataset GitHub.</x:v>
      </x:c>
    </x:row>
    <x:row r="85" ht="15" hidden="0" customHeight="1">
      <x:c r="A85" s="65" t="str">
        <x:v>carrots__leek</x:v>
      </x:c>
      <x:c r="B85" s="65" t="str">
        <x:v>carrots</x:v>
      </x:c>
      <x:c r="C85" s="65" t="str">
        <x:v>Carota</x:v>
      </x:c>
      <x:c r="D85" s="65" t="str">
        <x:v>Carrots</x:v>
      </x:c>
      <x:c r="E85" s="65" t="str">
        <x:v>leek</x:v>
      </x:c>
      <x:c r="F85" s="65" t="str">
        <x:v>Porro</x:v>
      </x:c>
      <x:c r="G85" s="65" t="str">
        <x:v>Leek</x:v>
      </x:c>
      <x:c r="H85" s="65" t="str">
        <x:v>B</x:v>
      </x:c>
      <x:c r="I85" s="65" t="str">
        <x:v>Favorevole</x:v>
      </x:c>
      <x:c r="J85" s="65" t="str">
        <x:v>Simmetrica nella matrice</x:v>
      </x:c>
      <x:c r="K85" s="65" t="str">
        <x:v>Orto Mio; possibile presenza anche nel dataset GitHub/Wikipedia</x:v>
      </x:c>
      <x:c r="L85" s="65" t="str">
        <x:v>Non classificata scientificamente nel file</x:v>
      </x:c>
      <x:c r="M85" s="65" t="str">
        <x:v>Preferenza agronomica; non vincolo rigido</x:v>
      </x:c>
      <x:c r="N85" s="65" t="str">
        <x:v>La matrice non conserva la direzione originaria Helps/Helped by del dataset GitHub.</x:v>
      </x:c>
    </x:row>
    <x:row r="86" ht="15" hidden="0" customHeight="1">
      <x:c r="A86" s="65" t="str">
        <x:v>carrots__legumes</x:v>
      </x:c>
      <x:c r="B86" s="65" t="str">
        <x:v>carrots</x:v>
      </x:c>
      <x:c r="C86" s="65" t="str">
        <x:v>Carota</x:v>
      </x:c>
      <x:c r="D86" s="65" t="str">
        <x:v>Carrots</x:v>
      </x:c>
      <x:c r="E86" s="65" t="str">
        <x:v>legumes</x:v>
      </x:c>
      <x:c r="F86" s="65" t="str">
        <x:v>Leguminose (gruppo)</x:v>
      </x:c>
      <x:c r="G86" s="65" t="str">
        <x:v>Legumes</x:v>
      </x:c>
      <x:c r="H86" s="65" t="str">
        <x:v>B</x:v>
      </x:c>
      <x:c r="I86" s="65" t="str">
        <x:v>Favorevole</x:v>
      </x:c>
      <x:c r="J86" s="65" t="str">
        <x:v>Simmetrica nella matrice</x:v>
      </x:c>
      <x:c r="K86" s="65" t="str">
        <x:v>Matrice integrata GitHub/Wikipedia e/o Orto Mio</x:v>
      </x:c>
      <x:c r="L86" s="65" t="str">
        <x:v>Non classificata scientificamente nel file</x:v>
      </x:c>
      <x:c r="M86" s="65" t="str">
        <x:v>Preferenza agronomica; non vincolo rigido</x:v>
      </x:c>
      <x:c r="N86" s="65" t="str">
        <x:v>La matrice non conserva la direzione originaria Helps/Helped by del dataset GitHub.</x:v>
      </x:c>
    </x:row>
    <x:row r="87" ht="15" hidden="0" customHeight="1">
      <x:c r="A87" s="65" t="str">
        <x:v>carrots__lettuce</x:v>
      </x:c>
      <x:c r="B87" s="65" t="str">
        <x:v>carrots</x:v>
      </x:c>
      <x:c r="C87" s="65" t="str">
        <x:v>Carota</x:v>
      </x:c>
      <x:c r="D87" s="65" t="str">
        <x:v>Carrots</x:v>
      </x:c>
      <x:c r="E87" s="65" t="str">
        <x:v>lettuce</x:v>
      </x:c>
      <x:c r="F87" s="65" t="str">
        <x:v>Lattuga</x:v>
      </x:c>
      <x:c r="G87" s="65" t="str">
        <x:v>Lettuce</x:v>
      </x:c>
      <x:c r="H87" s="65" t="str">
        <x:v>B</x:v>
      </x:c>
      <x:c r="I87" s="65" t="str">
        <x:v>Favorevole</x:v>
      </x:c>
      <x:c r="J87" s="65" t="str">
        <x:v>Simmetrica nella matrice</x:v>
      </x:c>
      <x:c r="K87" s="65" t="str">
        <x:v>Orto Mio; possibile presenza anche nel dataset GitHub/Wikipedia</x:v>
      </x:c>
      <x:c r="L87" s="65" t="str">
        <x:v>Non classificata scientificamente nel file</x:v>
      </x:c>
      <x:c r="M87" s="65" t="str">
        <x:v>Preferenza agronomica; non vincolo rigido</x:v>
      </x:c>
      <x:c r="N87" s="65" t="str">
        <x:v>La matrice non conserva la direzione originaria Helps/Helped by del dataset GitHub.</x:v>
      </x:c>
    </x:row>
    <x:row r="88" ht="15" hidden="0" customHeight="1">
      <x:c r="A88" s="65" t="str">
        <x:v>carrots__nightshades</x:v>
      </x:c>
      <x:c r="B88" s="65" t="str">
        <x:v>carrots</x:v>
      </x:c>
      <x:c r="C88" s="65" t="str">
        <x:v>Carota</x:v>
      </x:c>
      <x:c r="D88" s="65" t="str">
        <x:v>Carrots</x:v>
      </x:c>
      <x:c r="E88" s="65" t="str">
        <x:v>nightshades</x:v>
      </x:c>
      <x:c r="F88" s="65" t="str">
        <x:v>Solanacee (gruppo)</x:v>
      </x:c>
      <x:c r="G88" s="65" t="str">
        <x:v>Nightshades</x:v>
      </x:c>
      <x:c r="H88" s="65" t="str">
        <x:v>B</x:v>
      </x:c>
      <x:c r="I88" s="65" t="str">
        <x:v>Favorevole</x:v>
      </x:c>
      <x:c r="J88" s="65" t="str">
        <x:v>Simmetrica nella matrice</x:v>
      </x:c>
      <x:c r="K88" s="65" t="str">
        <x:v>Matrice integrata GitHub/Wikipedia e/o Orto Mio</x:v>
      </x:c>
      <x:c r="L88" s="65" t="str">
        <x:v>Non classificata scientificamente nel file</x:v>
      </x:c>
      <x:c r="M88" s="65" t="str">
        <x:v>Preferenza agronomica; non vincolo rigido</x:v>
      </x:c>
      <x:c r="N88" s="65" t="str">
        <x:v>La matrice non conserva la direzione originaria Helps/Helped by del dataset GitHub.</x:v>
      </x:c>
    </x:row>
    <x:row r="89" ht="15" hidden="0" customHeight="1">
      <x:c r="A89" s="65" t="str">
        <x:v>carrots__onion</x:v>
      </x:c>
      <x:c r="B89" s="65" t="str">
        <x:v>carrots</x:v>
      </x:c>
      <x:c r="C89" s="65" t="str">
        <x:v>Carota</x:v>
      </x:c>
      <x:c r="D89" s="65" t="str">
        <x:v>Carrots</x:v>
      </x:c>
      <x:c r="E89" s="65" t="str">
        <x:v>onion</x:v>
      </x:c>
      <x:c r="F89" s="65" t="str">
        <x:v>Cipolla</x:v>
      </x:c>
      <x:c r="G89" s="65" t="str">
        <x:v>Onion</x:v>
      </x:c>
      <x:c r="H89" s="65" t="str">
        <x:v>B</x:v>
      </x:c>
      <x:c r="I89" s="65" t="str">
        <x:v>Favorevole</x:v>
      </x:c>
      <x:c r="J89" s="65" t="str">
        <x:v>Simmetrica nella matrice</x:v>
      </x:c>
      <x:c r="K89" s="65" t="str">
        <x:v>Orto Mio; possibile presenza anche nel dataset GitHub/Wikipedia</x:v>
      </x:c>
      <x:c r="L89" s="65" t="str">
        <x:v>Non classificata scientificamente nel file</x:v>
      </x:c>
      <x:c r="M89" s="65" t="str">
        <x:v>Preferenza agronomica; non vincolo rigido</x:v>
      </x:c>
      <x:c r="N89" s="65" t="str">
        <x:v>La matrice non conserva la direzione originaria Helps/Helped by del dataset GitHub.</x:v>
      </x:c>
    </x:row>
    <x:row r="90" ht="15" hidden="0" customHeight="1">
      <x:c r="A90" s="65" t="str">
        <x:v>carrots__parsnip</x:v>
      </x:c>
      <x:c r="B90" s="65" t="str">
        <x:v>carrots</x:v>
      </x:c>
      <x:c r="C90" s="65" t="str">
        <x:v>Carota</x:v>
      </x:c>
      <x:c r="D90" s="65" t="str">
        <x:v>Carrots</x:v>
      </x:c>
      <x:c r="E90" s="65" t="str">
        <x:v>parsnip</x:v>
      </x:c>
      <x:c r="F90" s="65" t="str">
        <x:v>Pastinaca</x:v>
      </x:c>
      <x:c r="G90" s="65" t="str">
        <x:v>Parsnip</x:v>
      </x:c>
      <x:c r="H90" s="65" t="str">
        <x:v>C</x:v>
      </x:c>
      <x:c r="I90" s="65" t="str">
        <x:v>Da evitare</x:v>
      </x:c>
      <x:c r="J90" s="65" t="str">
        <x:v>Simmetrica nella matrice</x:v>
      </x:c>
      <x:c r="K90" s="65" t="str">
        <x:v>GitHub/Wikipedia (Orto Mio riporta soltanto relazioni favorevoli)</x:v>
      </x:c>
      <x:c r="L90" s="65" t="str">
        <x:v>Non classificata scientificamente nel file</x:v>
      </x:c>
      <x:c r="M90" s="65" t="str">
        <x:v>Avviso forte; non divieto assoluto</x:v>
      </x:c>
      <x:c r="N90" s="65" t="str">
        <x:v>La matrice non conserva la direzione originaria Helps/Helped by del dataset GitHub.</x:v>
      </x:c>
    </x:row>
    <x:row r="91" ht="15" hidden="0" customHeight="1">
      <x:c r="A91" s="65" t="str">
        <x:v>carrots__potato</x:v>
      </x:c>
      <x:c r="B91" s="65" t="str">
        <x:v>carrots</x:v>
      </x:c>
      <x:c r="C91" s="65" t="str">
        <x:v>Carota</x:v>
      </x:c>
      <x:c r="D91" s="65" t="str">
        <x:v>Carrots</x:v>
      </x:c>
      <x:c r="E91" s="65" t="str">
        <x:v>potato</x:v>
      </x:c>
      <x:c r="F91" s="65" t="str">
        <x:v>Patata</x:v>
      </x:c>
      <x:c r="G91" s="65" t="str">
        <x:v>Potato</x:v>
      </x:c>
      <x:c r="H91" s="65" t="str">
        <x:v>C</x:v>
      </x:c>
      <x:c r="I91" s="65" t="str">
        <x:v>Da evitare</x:v>
      </x:c>
      <x:c r="J91" s="65" t="str">
        <x:v>Simmetrica nella matrice</x:v>
      </x:c>
      <x:c r="K91" s="65" t="str">
        <x:v>GitHub/Wikipedia (Orto Mio riporta soltanto relazioni favorevoli)</x:v>
      </x:c>
      <x:c r="L91" s="65" t="str">
        <x:v>Non classificata scientificamente nel file</x:v>
      </x:c>
      <x:c r="M91" s="65" t="str">
        <x:v>Avviso forte; non divieto assoluto</x:v>
      </x:c>
      <x:c r="N91" s="65" t="str">
        <x:v>La matrice non conserva la direzione originaria Helps/Helped by del dataset GitHub.</x:v>
      </x:c>
    </x:row>
    <x:row r="92" ht="15" hidden="0" customHeight="1">
      <x:c r="A92" s="65" t="str">
        <x:v>carrots__radish</x:v>
      </x:c>
      <x:c r="B92" s="65" t="str">
        <x:v>carrots</x:v>
      </x:c>
      <x:c r="C92" s="65" t="str">
        <x:v>Carota</x:v>
      </x:c>
      <x:c r="D92" s="65" t="str">
        <x:v>Carrots</x:v>
      </x:c>
      <x:c r="E92" s="65" t="str">
        <x:v>radish</x:v>
      </x:c>
      <x:c r="F92" s="65" t="str">
        <x:v>Ravanello</x:v>
      </x:c>
      <x:c r="G92" s="65" t="str">
        <x:v>Radish</x:v>
      </x:c>
      <x:c r="H92" s="65" t="str">
        <x:v>C</x:v>
      </x:c>
      <x:c r="I92" s="65" t="str">
        <x:v>Da evitare</x:v>
      </x:c>
      <x:c r="J92" s="65" t="str">
        <x:v>Simmetrica nella matrice</x:v>
      </x:c>
      <x:c r="K92" s="65" t="str">
        <x:v>GitHub/Wikipedia (Orto Mio riporta soltanto relazioni favorevoli)</x:v>
      </x:c>
      <x:c r="L92" s="65" t="str">
        <x:v>Non classificata scientificamente nel file</x:v>
      </x:c>
      <x:c r="M92" s="65" t="str">
        <x:v>Avviso forte; non divieto assoluto</x:v>
      </x:c>
      <x:c r="N92" s="65" t="str">
        <x:v>La matrice non conserva la direzione originaria Helps/Helped by del dataset GitHub.</x:v>
      </x:c>
    </x:row>
    <x:row r="93" ht="15" hidden="0" customHeight="1">
      <x:c r="A93" s="65" t="str">
        <x:v>carrots__tomatoes</x:v>
      </x:c>
      <x:c r="B93" s="65" t="str">
        <x:v>carrots</x:v>
      </x:c>
      <x:c r="C93" s="65" t="str">
        <x:v>Carota</x:v>
      </x:c>
      <x:c r="D93" s="65" t="str">
        <x:v>Carrots</x:v>
      </x:c>
      <x:c r="E93" s="65" t="str">
        <x:v>tomatoes</x:v>
      </x:c>
      <x:c r="F93" s="65" t="str">
        <x:v>Pomodoro</x:v>
      </x:c>
      <x:c r="G93" s="65" t="str">
        <x:v>Tomatoes</x:v>
      </x:c>
      <x:c r="H93" s="65" t="str">
        <x:v>B</x:v>
      </x:c>
      <x:c r="I93" s="65" t="str">
        <x:v>Favorevole</x:v>
      </x:c>
      <x:c r="J93" s="65" t="str">
        <x:v>Simmetrica nella matrice</x:v>
      </x:c>
      <x:c r="K93" s="65" t="str">
        <x:v>Matrice integrata GitHub/Wikipedia e/o Orto Mio</x:v>
      </x:c>
      <x:c r="L93" s="65" t="str">
        <x:v>Non classificata scientificamente nel file</x:v>
      </x:c>
      <x:c r="M93" s="65" t="str">
        <x:v>Preferenza agronomica; non vincolo rigido</x:v>
      </x:c>
      <x:c r="N93" s="65" t="str">
        <x:v>La matrice non conserva la direzione originaria Helps/Helped by del dataset GitHub.</x:v>
      </x:c>
    </x:row>
    <x:row r="94" ht="15" hidden="0" customHeight="1">
      <x:c r="A94" s="65" t="str">
        <x:v>cauliflower__celery</x:v>
      </x:c>
      <x:c r="B94" s="65" t="str">
        <x:v>cauliflower</x:v>
      </x:c>
      <x:c r="C94" s="65" t="str">
        <x:v>Cavolfiore</x:v>
      </x:c>
      <x:c r="D94" s="65" t="str">
        <x:v>Cauliflower</x:v>
      </x:c>
      <x:c r="E94" s="65" t="str">
        <x:v>celery</x:v>
      </x:c>
      <x:c r="F94" s="65" t="str">
        <x:v>Sedano</x:v>
      </x:c>
      <x:c r="G94" s="65" t="str">
        <x:v>Celery</x:v>
      </x:c>
      <x:c r="H94" s="65" t="str">
        <x:v>B</x:v>
      </x:c>
      <x:c r="I94" s="65" t="str">
        <x:v>Favorevole</x:v>
      </x:c>
      <x:c r="J94" s="65" t="str">
        <x:v>Simmetrica nella matrice</x:v>
      </x:c>
      <x:c r="K94" s="65" t="str">
        <x:v>Matrice integrata GitHub/Wikipedia e/o Orto Mio</x:v>
      </x:c>
      <x:c r="L94" s="65" t="str">
        <x:v>Non classificata scientificamente nel file</x:v>
      </x:c>
      <x:c r="M94" s="65" t="str">
        <x:v>Preferenza agronomica; non vincolo rigido</x:v>
      </x:c>
      <x:c r="N94" s="65" t="str">
        <x:v>La matrice non conserva la direzione originaria Helps/Helped by del dataset GitHub.</x:v>
      </x:c>
    </x:row>
    <x:row r="95" ht="15" hidden="0" customHeight="1">
      <x:c r="A95" s="65" t="str">
        <x:v>cauliflower__legumes</x:v>
      </x:c>
      <x:c r="B95" s="65" t="str">
        <x:v>cauliflower</x:v>
      </x:c>
      <x:c r="C95" s="65" t="str">
        <x:v>Cavolfiore</x:v>
      </x:c>
      <x:c r="D95" s="65" t="str">
        <x:v>Cauliflower</x:v>
      </x:c>
      <x:c r="E95" s="65" t="str">
        <x:v>legumes</x:v>
      </x:c>
      <x:c r="F95" s="65" t="str">
        <x:v>Leguminose (gruppo)</x:v>
      </x:c>
      <x:c r="G95" s="65" t="str">
        <x:v>Legumes</x:v>
      </x:c>
      <x:c r="H95" s="65" t="str">
        <x:v>B</x:v>
      </x:c>
      <x:c r="I95" s="65" t="str">
        <x:v>Favorevole</x:v>
      </x:c>
      <x:c r="J95" s="65" t="str">
        <x:v>Simmetrica nella matrice</x:v>
      </x:c>
      <x:c r="K95" s="65" t="str">
        <x:v>Matrice integrata GitHub/Wikipedia e/o Orto Mio</x:v>
      </x:c>
      <x:c r="L95" s="65" t="str">
        <x:v>Non classificata scientificamente nel file</x:v>
      </x:c>
      <x:c r="M95" s="65" t="str">
        <x:v>Preferenza agronomica; non vincolo rigido</x:v>
      </x:c>
      <x:c r="N95" s="65" t="str">
        <x:v>La matrice non conserva la direzione originaria Helps/Helped by del dataset GitHub.</x:v>
      </x:c>
    </x:row>
    <x:row r="96" ht="15" hidden="0" customHeight="1">
      <x:c r="A96" s="65" t="str">
        <x:v>cauliflower__mustard</x:v>
      </x:c>
      <x:c r="B96" s="65" t="str">
        <x:v>cauliflower</x:v>
      </x:c>
      <x:c r="C96" s="65" t="str">
        <x:v>Cavolfiore</x:v>
      </x:c>
      <x:c r="D96" s="65" t="str">
        <x:v>Cauliflower</x:v>
      </x:c>
      <x:c r="E96" s="65" t="str">
        <x:v>mustard</x:v>
      </x:c>
      <x:c r="F96" s="65" t="str">
        <x:v>Senape</x:v>
      </x:c>
      <x:c r="G96" s="65" t="str">
        <x:v>Mustard</x:v>
      </x:c>
      <x:c r="H96" s="65" t="str">
        <x:v>B</x:v>
      </x:c>
      <x:c r="I96" s="65" t="str">
        <x:v>Favorevole</x:v>
      </x:c>
      <x:c r="J96" s="65" t="str">
        <x:v>Simmetrica nella matrice</x:v>
      </x:c>
      <x:c r="K96" s="65" t="str">
        <x:v>Matrice integrata GitHub/Wikipedia e/o Orto Mio</x:v>
      </x:c>
      <x:c r="L96" s="65" t="str">
        <x:v>Non classificata scientificamente nel file</x:v>
      </x:c>
      <x:c r="M96" s="65" t="str">
        <x:v>Preferenza agronomica; non vincolo rigido</x:v>
      </x:c>
      <x:c r="N96" s="65" t="str">
        <x:v>La matrice non conserva la direzione originaria Helps/Helped by del dataset GitHub.</x:v>
      </x:c>
    </x:row>
    <x:row r="97" ht="15" hidden="0" customHeight="1">
      <x:c r="A97" s="65" t="str">
        <x:v>cauliflower__peas</x:v>
      </x:c>
      <x:c r="B97" s="65" t="str">
        <x:v>cauliflower</x:v>
      </x:c>
      <x:c r="C97" s="65" t="str">
        <x:v>Cavolfiore</x:v>
      </x:c>
      <x:c r="D97" s="65" t="str">
        <x:v>Cauliflower</x:v>
      </x:c>
      <x:c r="E97" s="65" t="str">
        <x:v>peas</x:v>
      </x:c>
      <x:c r="F97" s="65" t="str">
        <x:v>Pisello</x:v>
      </x:c>
      <x:c r="G97" s="65" t="str">
        <x:v>Peas</x:v>
      </x:c>
      <x:c r="H97" s="65" t="str">
        <x:v>B</x:v>
      </x:c>
      <x:c r="I97" s="65" t="str">
        <x:v>Favorevole</x:v>
      </x:c>
      <x:c r="J97" s="65" t="str">
        <x:v>Simmetrica nella matrice</x:v>
      </x:c>
      <x:c r="K97" s="65" t="str">
        <x:v>Matrice integrata GitHub/Wikipedia e/o Orto Mio</x:v>
      </x:c>
      <x:c r="L97" s="65" t="str">
        <x:v>Non classificata scientificamente nel file</x:v>
      </x:c>
      <x:c r="M97" s="65" t="str">
        <x:v>Preferenza agronomica; non vincolo rigido</x:v>
      </x:c>
      <x:c r="N97" s="65" t="str">
        <x:v>La matrice non conserva la direzione originaria Helps/Helped by del dataset GitHub.</x:v>
      </x:c>
    </x:row>
    <x:row r="98" ht="15" hidden="0" customHeight="1">
      <x:c r="A98" s="65" t="str">
        <x:v>cauliflower__spinach</x:v>
      </x:c>
      <x:c r="B98" s="65" t="str">
        <x:v>cauliflower</x:v>
      </x:c>
      <x:c r="C98" s="65" t="str">
        <x:v>Cavolfiore</x:v>
      </x:c>
      <x:c r="D98" s="65" t="str">
        <x:v>Cauliflower</x:v>
      </x:c>
      <x:c r="E98" s="65" t="str">
        <x:v>spinach</x:v>
      </x:c>
      <x:c r="F98" s="65" t="str">
        <x:v>Spinacio</x:v>
      </x:c>
      <x:c r="G98" s="65" t="str">
        <x:v>Spinach</x:v>
      </x:c>
      <x:c r="H98" s="65" t="str">
        <x:v>B</x:v>
      </x:c>
      <x:c r="I98" s="65" t="str">
        <x:v>Favorevole</x:v>
      </x:c>
      <x:c r="J98" s="65" t="str">
        <x:v>Simmetrica nella matrice</x:v>
      </x:c>
      <x:c r="K98" s="65" t="str">
        <x:v>Matrice integrata GitHub/Wikipedia e/o Orto Mio</x:v>
      </x:c>
      <x:c r="L98" s="65" t="str">
        <x:v>Non classificata scientificamente nel file</x:v>
      </x:c>
      <x:c r="M98" s="65" t="str">
        <x:v>Preferenza agronomica; non vincolo rigido</x:v>
      </x:c>
      <x:c r="N98" s="65" t="str">
        <x:v>La matrice non conserva la direzione originaria Helps/Helped by del dataset GitHub.</x:v>
      </x:c>
    </x:row>
    <x:row r="99" ht="15" hidden="0" customHeight="1">
      <x:c r="A99" s="65" t="str">
        <x:v>celery__corn_maize</x:v>
      </x:c>
      <x:c r="B99" s="65" t="str">
        <x:v>celery</x:v>
      </x:c>
      <x:c r="C99" s="65" t="str">
        <x:v>Sedano</x:v>
      </x:c>
      <x:c r="D99" s="65" t="str">
        <x:v>Celery</x:v>
      </x:c>
      <x:c r="E99" s="65" t="str">
        <x:v>corn_maize</x:v>
      </x:c>
      <x:c r="F99" s="65" t="str">
        <x:v>Mais</x:v>
      </x:c>
      <x:c r="G99" s="65" t="str">
        <x:v>Corn / Maize</x:v>
      </x:c>
      <x:c r="H99" s="65" t="str">
        <x:v>C</x:v>
      </x:c>
      <x:c r="I99" s="65" t="str">
        <x:v>Da evitare</x:v>
      </x:c>
      <x:c r="J99" s="65" t="str">
        <x:v>Simmetrica nella matrice</x:v>
      </x:c>
      <x:c r="K99" s="65" t="str">
        <x:v>GitHub/Wikipedia (Orto Mio riporta soltanto relazioni favorevoli)</x:v>
      </x:c>
      <x:c r="L99" s="65" t="str">
        <x:v>Non classificata scientificamente nel file</x:v>
      </x:c>
      <x:c r="M99" s="65" t="str">
        <x:v>Avviso forte; non divieto assoluto</x:v>
      </x:c>
      <x:c r="N99" s="65" t="str">
        <x:v>La matrice non conserva la direzione originaria Helps/Helped by del dataset GitHub.</x:v>
      </x:c>
    </x:row>
    <x:row r="100" ht="15" hidden="0" customHeight="1">
      <x:c r="A100" s="65" t="str">
        <x:v>celery__cucumber</x:v>
      </x:c>
      <x:c r="B100" s="65" t="str">
        <x:v>celery</x:v>
      </x:c>
      <x:c r="C100" s="65" t="str">
        <x:v>Sedano</x:v>
      </x:c>
      <x:c r="D100" s="65" t="str">
        <x:v>Celery</x:v>
      </x:c>
      <x:c r="E100" s="65" t="str">
        <x:v>cucumber</x:v>
      </x:c>
      <x:c r="F100" s="65" t="str">
        <x:v>Cetriolo</x:v>
      </x:c>
      <x:c r="G100" s="65" t="str">
        <x:v>Cucumber</x:v>
      </x:c>
      <x:c r="H100" s="65" t="str">
        <x:v>B</x:v>
      </x:c>
      <x:c r="I100" s="65" t="str">
        <x:v>Favorevole</x:v>
      </x:c>
      <x:c r="J100" s="65" t="str">
        <x:v>Simmetrica nella matrice</x:v>
      </x:c>
      <x:c r="K100" s="65" t="str">
        <x:v>Orto Mio; possibile presenza anche nel dataset GitHub/Wikipedia</x:v>
      </x:c>
      <x:c r="L100" s="65" t="str">
        <x:v>Non classificata scientificamente nel file</x:v>
      </x:c>
      <x:c r="M100" s="65" t="str">
        <x:v>Preferenza agronomica; non vincolo rigido</x:v>
      </x:c>
      <x:c r="N100" s="65" t="str">
        <x:v>La matrice non conserva la direzione originaria Helps/Helped by del dataset GitHub.</x:v>
      </x:c>
    </x:row>
    <x:row r="101" ht="15" hidden="0" customHeight="1">
      <x:c r="A101" s="65" t="str">
        <x:v>celery__eggplant_or_aubergine</x:v>
      </x:c>
      <x:c r="B101" s="65" t="str">
        <x:v>celery</x:v>
      </x:c>
      <x:c r="C101" s="65" t="str">
        <x:v>Sedano</x:v>
      </x:c>
      <x:c r="D101" s="65" t="str">
        <x:v>Celery</x:v>
      </x:c>
      <x:c r="E101" s="65" t="str">
        <x:v>eggplant_or_aubergine</x:v>
      </x:c>
      <x:c r="F101" s="65" t="str">
        <x:v>Melanzana</x:v>
      </x:c>
      <x:c r="G101" s="65" t="str">
        <x:v>Eggplant or Aubergine</x:v>
      </x:c>
      <x:c r="H101" s="65" t="str">
        <x:v>B</x:v>
      </x:c>
      <x:c r="I101" s="65" t="str">
        <x:v>Favorevole</x:v>
      </x:c>
      <x:c r="J101" s="65" t="str">
        <x:v>Simmetrica nella matrice</x:v>
      </x:c>
      <x:c r="K101" s="65" t="str">
        <x:v>Orto Mio; possibile presenza anche nel dataset GitHub/Wikipedia</x:v>
      </x:c>
      <x:c r="L101" s="65" t="str">
        <x:v>Non classificata scientificamente nel file</x:v>
      </x:c>
      <x:c r="M101" s="65" t="str">
        <x:v>Preferenza agronomica; non vincolo rigido</x:v>
      </x:c>
      <x:c r="N101" s="65" t="str">
        <x:v>La matrice non conserva la direzione originaria Helps/Helped by del dataset GitHub.</x:v>
      </x:c>
    </x:row>
    <x:row r="102" ht="15" hidden="0" customHeight="1">
      <x:c r="A102" s="65" t="str">
        <x:v>celery__leek</x:v>
      </x:c>
      <x:c r="B102" s="65" t="str">
        <x:v>celery</x:v>
      </x:c>
      <x:c r="C102" s="65" t="str">
        <x:v>Sedano</x:v>
      </x:c>
      <x:c r="D102" s="65" t="str">
        <x:v>Celery</x:v>
      </x:c>
      <x:c r="E102" s="65" t="str">
        <x:v>leek</x:v>
      </x:c>
      <x:c r="F102" s="65" t="str">
        <x:v>Porro</x:v>
      </x:c>
      <x:c r="G102" s="65" t="str">
        <x:v>Leek</x:v>
      </x:c>
      <x:c r="H102" s="65" t="str">
        <x:v>B</x:v>
      </x:c>
      <x:c r="I102" s="65" t="str">
        <x:v>Favorevole</x:v>
      </x:c>
      <x:c r="J102" s="65" t="str">
        <x:v>Simmetrica nella matrice</x:v>
      </x:c>
      <x:c r="K102" s="65" t="str">
        <x:v>Orto Mio; possibile presenza anche nel dataset GitHub/Wikipedia</x:v>
      </x:c>
      <x:c r="L102" s="65" t="str">
        <x:v>Non classificata scientificamente nel file</x:v>
      </x:c>
      <x:c r="M102" s="65" t="str">
        <x:v>Preferenza agronomica; non vincolo rigido</x:v>
      </x:c>
      <x:c r="N102" s="65" t="str">
        <x:v>La matrice non conserva la direzione originaria Helps/Helped by del dataset GitHub.</x:v>
      </x:c>
    </x:row>
    <x:row r="103" ht="15" hidden="0" customHeight="1">
      <x:c r="A103" s="65" t="str">
        <x:v>celery__legumes</x:v>
      </x:c>
      <x:c r="B103" s="65" t="str">
        <x:v>celery</x:v>
      </x:c>
      <x:c r="C103" s="65" t="str">
        <x:v>Sedano</x:v>
      </x:c>
      <x:c r="D103" s="65" t="str">
        <x:v>Celery</x:v>
      </x:c>
      <x:c r="E103" s="65" t="str">
        <x:v>legumes</x:v>
      </x:c>
      <x:c r="F103" s="65" t="str">
        <x:v>Leguminose (gruppo)</x:v>
      </x:c>
      <x:c r="G103" s="65" t="str">
        <x:v>Legumes</x:v>
      </x:c>
      <x:c r="H103" s="65" t="str">
        <x:v>B</x:v>
      </x:c>
      <x:c r="I103" s="65" t="str">
        <x:v>Favorevole</x:v>
      </x:c>
      <x:c r="J103" s="65" t="str">
        <x:v>Simmetrica nella matrice</x:v>
      </x:c>
      <x:c r="K103" s="65" t="str">
        <x:v>Matrice integrata GitHub/Wikipedia e/o Orto Mio</x:v>
      </x:c>
      <x:c r="L103" s="65" t="str">
        <x:v>Non classificata scientificamente nel file</x:v>
      </x:c>
      <x:c r="M103" s="65" t="str">
        <x:v>Preferenza agronomica; non vincolo rigido</x:v>
      </x:c>
      <x:c r="N103" s="65" t="str">
        <x:v>La matrice non conserva la direzione originaria Helps/Helped by del dataset GitHub.</x:v>
      </x:c>
    </x:row>
    <x:row r="104" ht="15" hidden="0" customHeight="1">
      <x:c r="A104" s="65" t="str">
        <x:v>celery__lettuce</x:v>
      </x:c>
      <x:c r="B104" s="65" t="str">
        <x:v>celery</x:v>
      </x:c>
      <x:c r="C104" s="65" t="str">
        <x:v>Sedano</x:v>
      </x:c>
      <x:c r="D104" s="65" t="str">
        <x:v>Celery</x:v>
      </x:c>
      <x:c r="E104" s="65" t="str">
        <x:v>lettuce</x:v>
      </x:c>
      <x:c r="F104" s="65" t="str">
        <x:v>Lattuga</x:v>
      </x:c>
      <x:c r="G104" s="65" t="str">
        <x:v>Lettuce</x:v>
      </x:c>
      <x:c r="H104" s="65" t="str">
        <x:v>M</x:v>
      </x:c>
      <x:c r="I104" s="65" t="str">
        <x:v>Mista / fonti discordanti</x:v>
      </x:c>
      <x:c r="J104" s="65" t="str">
        <x:v>Simmetrica nella matrice</x:v>
      </x:c>
      <x:c r="K104" s="65" t="str">
        <x:v>GitHub/Wikipedia + Orto Mio (fonti discordanti)</x:v>
      </x:c>
      <x:c r="L104" s="65" t="str">
        <x:v>Non classificata scientificamente nel file</x:v>
      </x:c>
      <x:c r="M104" s="65" t="str">
        <x:v>Solo informativa; non usare per la disposizione automatica</x:v>
      </x:c>
      <x:c r="N104" s="65" t="str">
        <x:v>La matrice non conserva la direzione originaria Helps/Helped by del dataset GitHub.</x:v>
      </x:c>
    </x:row>
    <x:row r="105" ht="15" hidden="0" customHeight="1">
      <x:c r="A105" s="65" t="str">
        <x:v>celery__okra</x:v>
      </x:c>
      <x:c r="B105" s="65" t="str">
        <x:v>celery</x:v>
      </x:c>
      <x:c r="C105" s="65" t="str">
        <x:v>Sedano</x:v>
      </x:c>
      <x:c r="D105" s="65" t="str">
        <x:v>Celery</x:v>
      </x:c>
      <x:c r="E105" s="65" t="str">
        <x:v>okra</x:v>
      </x:c>
      <x:c r="F105" s="65" t="str">
        <x:v>Okra</x:v>
      </x:c>
      <x:c r="G105" s="65" t="str">
        <x:v>Okra</x:v>
      </x:c>
      <x:c r="H105" s="65" t="str">
        <x:v>B</x:v>
      </x:c>
      <x:c r="I105" s="65" t="str">
        <x:v>Favorevole</x:v>
      </x:c>
      <x:c r="J105" s="65" t="str">
        <x:v>Simmetrica nella matrice</x:v>
      </x:c>
      <x:c r="K105" s="65" t="str">
        <x:v>Orto Mio; possibile presenza anche nel dataset GitHub/Wikipedia</x:v>
      </x:c>
      <x:c r="L105" s="65" t="str">
        <x:v>Non classificata scientificamente nel file</x:v>
      </x:c>
      <x:c r="M105" s="65" t="str">
        <x:v>Preferenza agronomica; non vincolo rigido</x:v>
      </x:c>
      <x:c r="N105" s="65" t="str">
        <x:v>La matrice non conserva la direzione originaria Helps/Helped by del dataset GitHub.</x:v>
      </x:c>
    </x:row>
    <x:row r="106" ht="15" hidden="0" customHeight="1">
      <x:c r="A106" s="65" t="str">
        <x:v>celery__pumpkin</x:v>
      </x:c>
      <x:c r="B106" s="65" t="str">
        <x:v>celery</x:v>
      </x:c>
      <x:c r="C106" s="65" t="str">
        <x:v>Sedano</x:v>
      </x:c>
      <x:c r="D106" s="65" t="str">
        <x:v>Celery</x:v>
      </x:c>
      <x:c r="E106" s="65" t="str">
        <x:v>pumpkin</x:v>
      </x:c>
      <x:c r="F106" s="65" t="str">
        <x:v>Zucca</x:v>
      </x:c>
      <x:c r="G106" s="65" t="str">
        <x:v>Pumpkin</x:v>
      </x:c>
      <x:c r="H106" s="65" t="str">
        <x:v>B</x:v>
      </x:c>
      <x:c r="I106" s="65" t="str">
        <x:v>Favorevole</x:v>
      </x:c>
      <x:c r="J106" s="65" t="str">
        <x:v>Simmetrica nella matrice</x:v>
      </x:c>
      <x:c r="K106" s="65" t="str">
        <x:v>Orto Mio; possibile presenza anche nel dataset GitHub/Wikipedia</x:v>
      </x:c>
      <x:c r="L106" s="65" t="str">
        <x:v>Non classificata scientificamente nel file</x:v>
      </x:c>
      <x:c r="M106" s="65" t="str">
        <x:v>Preferenza agronomica; non vincolo rigido</x:v>
      </x:c>
      <x:c r="N106" s="65" t="str">
        <x:v>La matrice non conserva la direzione originaria Helps/Helped by del dataset GitHub.</x:v>
      </x:c>
    </x:row>
    <x:row r="107" ht="15" hidden="0" customHeight="1">
      <x:c r="A107" s="65" t="str">
        <x:v>celery__tomatoes</x:v>
      </x:c>
      <x:c r="B107" s="65" t="str">
        <x:v>celery</x:v>
      </x:c>
      <x:c r="C107" s="65" t="str">
        <x:v>Sedano</x:v>
      </x:c>
      <x:c r="D107" s="65" t="str">
        <x:v>Celery</x:v>
      </x:c>
      <x:c r="E107" s="65" t="str">
        <x:v>tomatoes</x:v>
      </x:c>
      <x:c r="F107" s="65" t="str">
        <x:v>Pomodoro</x:v>
      </x:c>
      <x:c r="G107" s="65" t="str">
        <x:v>Tomatoes</x:v>
      </x:c>
      <x:c r="H107" s="65" t="str">
        <x:v>B</x:v>
      </x:c>
      <x:c r="I107" s="65" t="str">
        <x:v>Favorevole</x:v>
      </x:c>
      <x:c r="J107" s="65" t="str">
        <x:v>Simmetrica nella matrice</x:v>
      </x:c>
      <x:c r="K107" s="65" t="str">
        <x:v>Orto Mio; possibile presenza anche nel dataset GitHub/Wikipedia</x:v>
      </x:c>
      <x:c r="L107" s="65" t="str">
        <x:v>Non classificata scientificamente nel file</x:v>
      </x:c>
      <x:c r="M107" s="65" t="str">
        <x:v>Preferenza agronomica; non vincolo rigido</x:v>
      </x:c>
      <x:c r="N107" s="65" t="str">
        <x:v>La matrice non conserva la direzione originaria Helps/Helped by del dataset GitHub.</x:v>
      </x:c>
    </x:row>
    <x:row r="108" ht="15" hidden="0" customHeight="1">
      <x:c r="A108" s="65" t="str">
        <x:v>celery__watermelon</x:v>
      </x:c>
      <x:c r="B108" s="65" t="str">
        <x:v>celery</x:v>
      </x:c>
      <x:c r="C108" s="65" t="str">
        <x:v>Sedano</x:v>
      </x:c>
      <x:c r="D108" s="65" t="str">
        <x:v>Celery</x:v>
      </x:c>
      <x:c r="E108" s="65" t="str">
        <x:v>watermelon</x:v>
      </x:c>
      <x:c r="F108" s="65" t="str">
        <x:v>Anguria</x:v>
      </x:c>
      <x:c r="G108" s="65" t="str">
        <x:v>Watermelon</x:v>
      </x:c>
      <x:c r="H108" s="65" t="str">
        <x:v>B</x:v>
      </x:c>
      <x:c r="I108" s="65" t="str">
        <x:v>Favorevole</x:v>
      </x:c>
      <x:c r="J108" s="65" t="str">
        <x:v>Simmetrica nella matrice</x:v>
      </x:c>
      <x:c r="K108" s="65" t="str">
        <x:v>Orto Mio; possibile presenza anche nel dataset GitHub/Wikipedia</x:v>
      </x:c>
      <x:c r="L108" s="65" t="str">
        <x:v>Non classificata scientificamente nel file</x:v>
      </x:c>
      <x:c r="M108" s="65" t="str">
        <x:v>Preferenza agronomica; non vincolo rigido</x:v>
      </x:c>
      <x:c r="N108" s="65" t="str">
        <x:v>La matrice non conserva la direzione originaria Helps/Helped by del dataset GitHub.</x:v>
      </x:c>
    </x:row>
    <x:row r="109" ht="15" hidden="0" customHeight="1">
      <x:c r="A109" s="65" t="str">
        <x:v>chard__kohlrabi</x:v>
      </x:c>
      <x:c r="B109" s="65" t="str">
        <x:v>chard</x:v>
      </x:c>
      <x:c r="C109" s="65" t="str">
        <x:v>Bietola</x:v>
      </x:c>
      <x:c r="D109" s="65" t="str">
        <x:v>Chard</x:v>
      </x:c>
      <x:c r="E109" s="65" t="str">
        <x:v>kohlrabi</x:v>
      </x:c>
      <x:c r="F109" s="65" t="str">
        <x:v>Cavolo rapa</x:v>
      </x:c>
      <x:c r="G109" s="65" t="str">
        <x:v>Kohlrabi</x:v>
      </x:c>
      <x:c r="H109" s="65" t="str">
        <x:v>B</x:v>
      </x:c>
      <x:c r="I109" s="65" t="str">
        <x:v>Favorevole</x:v>
      </x:c>
      <x:c r="J109" s="65" t="str">
        <x:v>Simmetrica nella matrice</x:v>
      </x:c>
      <x:c r="K109" s="65" t="str">
        <x:v>Orto Mio; possibile presenza anche nel dataset GitHub/Wikipedia</x:v>
      </x:c>
      <x:c r="L109" s="65" t="str">
        <x:v>Non classificata scientificamente nel file</x:v>
      </x:c>
      <x:c r="M109" s="65" t="str">
        <x:v>Preferenza agronomica; non vincolo rigido</x:v>
      </x:c>
      <x:c r="N109" s="65" t="str">
        <x:v>La matrice non conserva la direzione originaria Helps/Helped by del dataset GitHub.</x:v>
      </x:c>
    </x:row>
    <x:row r="110" ht="15" hidden="0" customHeight="1">
      <x:c r="A110" s="65" t="str">
        <x:v>chard__leek</x:v>
      </x:c>
      <x:c r="B110" s="65" t="str">
        <x:v>chard</x:v>
      </x:c>
      <x:c r="C110" s="65" t="str">
        <x:v>Bietola</x:v>
      </x:c>
      <x:c r="D110" s="65" t="str">
        <x:v>Chard</x:v>
      </x:c>
      <x:c r="E110" s="65" t="str">
        <x:v>leek</x:v>
      </x:c>
      <x:c r="F110" s="65" t="str">
        <x:v>Porro</x:v>
      </x:c>
      <x:c r="G110" s="65" t="str">
        <x:v>Leek</x:v>
      </x:c>
      <x:c r="H110" s="65" t="str">
        <x:v>C</x:v>
      </x:c>
      <x:c r="I110" s="65" t="str">
        <x:v>Da evitare</x:v>
      </x:c>
      <x:c r="J110" s="65" t="str">
        <x:v>Simmetrica nella matrice</x:v>
      </x:c>
      <x:c r="K110" s="65" t="str">
        <x:v>GitHub/Wikipedia (Orto Mio riporta soltanto relazioni favorevoli)</x:v>
      </x:c>
      <x:c r="L110" s="65" t="str">
        <x:v>Non classificata scientificamente nel file</x:v>
      </x:c>
      <x:c r="M110" s="65" t="str">
        <x:v>Avviso forte; non divieto assoluto</x:v>
      </x:c>
      <x:c r="N110" s="65" t="str">
        <x:v>La matrice non conserva la direzione originaria Helps/Helped by del dataset GitHub.</x:v>
      </x:c>
    </x:row>
    <x:row r="111" ht="15" hidden="0" customHeight="1">
      <x:c r="A111" s="65" t="str">
        <x:v>chard__legumes</x:v>
      </x:c>
      <x:c r="B111" s="65" t="str">
        <x:v>chard</x:v>
      </x:c>
      <x:c r="C111" s="65" t="str">
        <x:v>Bietola</x:v>
      </x:c>
      <x:c r="D111" s="65" t="str">
        <x:v>Chard</x:v>
      </x:c>
      <x:c r="E111" s="65" t="str">
        <x:v>legumes</x:v>
      </x:c>
      <x:c r="F111" s="65" t="str">
        <x:v>Leguminose (gruppo)</x:v>
      </x:c>
      <x:c r="G111" s="65" t="str">
        <x:v>Legumes</x:v>
      </x:c>
      <x:c r="H111" s="65" t="str">
        <x:v>B</x:v>
      </x:c>
      <x:c r="I111" s="65" t="str">
        <x:v>Favorevole</x:v>
      </x:c>
      <x:c r="J111" s="65" t="str">
        <x:v>Simmetrica nella matrice</x:v>
      </x:c>
      <x:c r="K111" s="65" t="str">
        <x:v>Matrice integrata GitHub/Wikipedia e/o Orto Mio</x:v>
      </x:c>
      <x:c r="L111" s="65" t="str">
        <x:v>Non classificata scientificamente nel file</x:v>
      </x:c>
      <x:c r="M111" s="65" t="str">
        <x:v>Preferenza agronomica; non vincolo rigido</x:v>
      </x:c>
      <x:c r="N111" s="65" t="str">
        <x:v>La matrice non conserva la direzione originaria Helps/Helped by del dataset GitHub.</x:v>
      </x:c>
    </x:row>
    <x:row r="112" ht="15" hidden="0" customHeight="1">
      <x:c r="A112" s="65" t="str">
        <x:v>chard__lettuce</x:v>
      </x:c>
      <x:c r="B112" s="65" t="str">
        <x:v>chard</x:v>
      </x:c>
      <x:c r="C112" s="65" t="str">
        <x:v>Bietola</x:v>
      </x:c>
      <x:c r="D112" s="65" t="str">
        <x:v>Chard</x:v>
      </x:c>
      <x:c r="E112" s="65" t="str">
        <x:v>lettuce</x:v>
      </x:c>
      <x:c r="F112" s="65" t="str">
        <x:v>Lattuga</x:v>
      </x:c>
      <x:c r="G112" s="65" t="str">
        <x:v>Lettuce</x:v>
      </x:c>
      <x:c r="H112" s="65" t="str">
        <x:v>B</x:v>
      </x:c>
      <x:c r="I112" s="65" t="str">
        <x:v>Favorevole</x:v>
      </x:c>
      <x:c r="J112" s="65" t="str">
        <x:v>Simmetrica nella matrice</x:v>
      </x:c>
      <x:c r="K112" s="65" t="str">
        <x:v>Orto Mio; possibile presenza anche nel dataset GitHub/Wikipedia</x:v>
      </x:c>
      <x:c r="L112" s="65" t="str">
        <x:v>Non classificata scientificamente nel file</x:v>
      </x:c>
      <x:c r="M112" s="65" t="str">
        <x:v>Preferenza agronomica; non vincolo rigido</x:v>
      </x:c>
      <x:c r="N112" s="65" t="str">
        <x:v>La matrice non conserva la direzione originaria Helps/Helped by del dataset GitHub.</x:v>
      </x:c>
    </x:row>
    <x:row r="113" ht="15" hidden="0" customHeight="1">
      <x:c r="A113" s="65" t="str">
        <x:v>chard__onion</x:v>
      </x:c>
      <x:c r="B113" s="65" t="str">
        <x:v>chard</x:v>
      </x:c>
      <x:c r="C113" s="65" t="str">
        <x:v>Bietola</x:v>
      </x:c>
      <x:c r="D113" s="65" t="str">
        <x:v>Chard</x:v>
      </x:c>
      <x:c r="E113" s="65" t="str">
        <x:v>onion</x:v>
      </x:c>
      <x:c r="F113" s="65" t="str">
        <x:v>Cipolla</x:v>
      </x:c>
      <x:c r="G113" s="65" t="str">
        <x:v>Onion</x:v>
      </x:c>
      <x:c r="H113" s="65" t="str">
        <x:v>B</x:v>
      </x:c>
      <x:c r="I113" s="65" t="str">
        <x:v>Favorevole</x:v>
      </x:c>
      <x:c r="J113" s="65" t="str">
        <x:v>Simmetrica nella matrice</x:v>
      </x:c>
      <x:c r="K113" s="65" t="str">
        <x:v>Orto Mio; possibile presenza anche nel dataset GitHub/Wikipedia</x:v>
      </x:c>
      <x:c r="L113" s="65" t="str">
        <x:v>Non classificata scientificamente nel file</x:v>
      </x:c>
      <x:c r="M113" s="65" t="str">
        <x:v>Preferenza agronomica; non vincolo rigido</x:v>
      </x:c>
      <x:c r="N113" s="65" t="str">
        <x:v>La matrice non conserva la direzione originaria Helps/Helped by del dataset GitHub.</x:v>
      </x:c>
    </x:row>
    <x:row r="114" ht="15" hidden="0" customHeight="1">
      <x:c r="A114" s="65" t="str">
        <x:v>chard__radish</x:v>
      </x:c>
      <x:c r="B114" s="65" t="str">
        <x:v>chard</x:v>
      </x:c>
      <x:c r="C114" s="65" t="str">
        <x:v>Bietola</x:v>
      </x:c>
      <x:c r="D114" s="65" t="str">
        <x:v>Chard</x:v>
      </x:c>
      <x:c r="E114" s="65" t="str">
        <x:v>radish</x:v>
      </x:c>
      <x:c r="F114" s="65" t="str">
        <x:v>Ravanello</x:v>
      </x:c>
      <x:c r="G114" s="65" t="str">
        <x:v>Radish</x:v>
      </x:c>
      <x:c r="H114" s="65" t="str">
        <x:v>B</x:v>
      </x:c>
      <x:c r="I114" s="65" t="str">
        <x:v>Favorevole</x:v>
      </x:c>
      <x:c r="J114" s="65" t="str">
        <x:v>Simmetrica nella matrice</x:v>
      </x:c>
      <x:c r="K114" s="65" t="str">
        <x:v>Orto Mio; possibile presenza anche nel dataset GitHub/Wikipedia</x:v>
      </x:c>
      <x:c r="L114" s="65" t="str">
        <x:v>Non classificata scientificamente nel file</x:v>
      </x:c>
      <x:c r="M114" s="65" t="str">
        <x:v>Preferenza agronomica; non vincolo rigido</x:v>
      </x:c>
      <x:c r="N114" s="65" t="str">
        <x:v>La matrice non conserva la direzione originaria Helps/Helped by del dataset GitHub.</x:v>
      </x:c>
    </x:row>
    <x:row r="115" ht="15" hidden="0" customHeight="1">
      <x:c r="A115" s="65" t="str">
        <x:v>corn_maize__cucurbits</x:v>
      </x:c>
      <x:c r="B115" s="65" t="str">
        <x:v>corn_maize</x:v>
      </x:c>
      <x:c r="C115" s="65" t="str">
        <x:v>Mais</x:v>
      </x:c>
      <x:c r="D115" s="65" t="str">
        <x:v>Corn / Maize</x:v>
      </x:c>
      <x:c r="E115" s="65" t="str">
        <x:v>cucurbits</x:v>
      </x:c>
      <x:c r="F115" s="65" t="str">
        <x:v>Cucurbitacee (gruppo)</x:v>
      </x:c>
      <x:c r="G115" s="65" t="str">
        <x:v>Cucurbits</x:v>
      </x:c>
      <x:c r="H115" s="65" t="str">
        <x:v>B</x:v>
      </x:c>
      <x:c r="I115" s="65" t="str">
        <x:v>Favorevole</x:v>
      </x:c>
      <x:c r="J115" s="65" t="str">
        <x:v>Simmetrica nella matrice</x:v>
      </x:c>
      <x:c r="K115" s="65" t="str">
        <x:v>Matrice integrata GitHub/Wikipedia e/o Orto Mio</x:v>
      </x:c>
      <x:c r="L115" s="65" t="str">
        <x:v>Non classificata scientificamente nel file</x:v>
      </x:c>
      <x:c r="M115" s="65" t="str">
        <x:v>Preferenza agronomica; non vincolo rigido</x:v>
      </x:c>
      <x:c r="N115" s="65" t="str">
        <x:v>La matrice non conserva la direzione originaria Helps/Helped by del dataset GitHub.</x:v>
      </x:c>
    </x:row>
    <x:row r="116" ht="15" hidden="0" customHeight="1">
      <x:c r="A116" s="65" t="str">
        <x:v>corn_maize__legumes</x:v>
      </x:c>
      <x:c r="B116" s="65" t="str">
        <x:v>corn_maize</x:v>
      </x:c>
      <x:c r="C116" s="65" t="str">
        <x:v>Mais</x:v>
      </x:c>
      <x:c r="D116" s="65" t="str">
        <x:v>Corn / Maize</x:v>
      </x:c>
      <x:c r="E116" s="65" t="str">
        <x:v>legumes</x:v>
      </x:c>
      <x:c r="F116" s="65" t="str">
        <x:v>Leguminose (gruppo)</x:v>
      </x:c>
      <x:c r="G116" s="65" t="str">
        <x:v>Legumes</x:v>
      </x:c>
      <x:c r="H116" s="65" t="str">
        <x:v>B</x:v>
      </x:c>
      <x:c r="I116" s="65" t="str">
        <x:v>Favorevole</x:v>
      </x:c>
      <x:c r="J116" s="65" t="str">
        <x:v>Simmetrica nella matrice</x:v>
      </x:c>
      <x:c r="K116" s="65" t="str">
        <x:v>Matrice integrata GitHub/Wikipedia e/o Orto Mio</x:v>
      </x:c>
      <x:c r="L116" s="65" t="str">
        <x:v>Non classificata scientificamente nel file</x:v>
      </x:c>
      <x:c r="M116" s="65" t="str">
        <x:v>Preferenza agronomica; non vincolo rigido</x:v>
      </x:c>
      <x:c r="N116" s="65" t="str">
        <x:v>La matrice non conserva la direzione originaria Helps/Helped by del dataset GitHub.</x:v>
      </x:c>
    </x:row>
    <x:row r="117" ht="15" hidden="0" customHeight="1">
      <x:c r="A117" s="65" t="str">
        <x:v>corn_maize__lettuce</x:v>
      </x:c>
      <x:c r="B117" s="65" t="str">
        <x:v>corn_maize</x:v>
      </x:c>
      <x:c r="C117" s="65" t="str">
        <x:v>Mais</x:v>
      </x:c>
      <x:c r="D117" s="65" t="str">
        <x:v>Corn / Maize</x:v>
      </x:c>
      <x:c r="E117" s="65" t="str">
        <x:v>lettuce</x:v>
      </x:c>
      <x:c r="F117" s="65" t="str">
        <x:v>Lattuga</x:v>
      </x:c>
      <x:c r="G117" s="65" t="str">
        <x:v>Lettuce</x:v>
      </x:c>
      <x:c r="H117" s="65" t="str">
        <x:v>B</x:v>
      </x:c>
      <x:c r="I117" s="65" t="str">
        <x:v>Favorevole</x:v>
      </x:c>
      <x:c r="J117" s="65" t="str">
        <x:v>Simmetrica nella matrice</x:v>
      </x:c>
      <x:c r="K117" s="65" t="str">
        <x:v>Orto Mio; possibile presenza anche nel dataset GitHub/Wikipedia</x:v>
      </x:c>
      <x:c r="L117" s="65" t="str">
        <x:v>Non classificata scientificamente nel file</x:v>
      </x:c>
      <x:c r="M117" s="65" t="str">
        <x:v>Preferenza agronomica; non vincolo rigido</x:v>
      </x:c>
      <x:c r="N117" s="65" t="str">
        <x:v>La matrice non conserva la direzione originaria Helps/Helped by del dataset GitHub.</x:v>
      </x:c>
    </x:row>
    <x:row r="118" ht="15" hidden="0" customHeight="1">
      <x:c r="A118" s="65" t="str">
        <x:v>corn_maize__mustard</x:v>
      </x:c>
      <x:c r="B118" s="65" t="str">
        <x:v>corn_maize</x:v>
      </x:c>
      <x:c r="C118" s="65" t="str">
        <x:v>Mais</x:v>
      </x:c>
      <x:c r="D118" s="65" t="str">
        <x:v>Corn / Maize</x:v>
      </x:c>
      <x:c r="E118" s="65" t="str">
        <x:v>mustard</x:v>
      </x:c>
      <x:c r="F118" s="65" t="str">
        <x:v>Senape</x:v>
      </x:c>
      <x:c r="G118" s="65" t="str">
        <x:v>Mustard</x:v>
      </x:c>
      <x:c r="H118" s="65" t="str">
        <x:v>B</x:v>
      </x:c>
      <x:c r="I118" s="65" t="str">
        <x:v>Favorevole</x:v>
      </x:c>
      <x:c r="J118" s="65" t="str">
        <x:v>Simmetrica nella matrice</x:v>
      </x:c>
      <x:c r="K118" s="65" t="str">
        <x:v>Matrice integrata GitHub/Wikipedia e/o Orto Mio</x:v>
      </x:c>
      <x:c r="L118" s="65" t="str">
        <x:v>Non classificata scientificamente nel file</x:v>
      </x:c>
      <x:c r="M118" s="65" t="str">
        <x:v>Preferenza agronomica; non vincolo rigido</x:v>
      </x:c>
      <x:c r="N118" s="65" t="str">
        <x:v>La matrice non conserva la direzione originaria Helps/Helped by del dataset GitHub.</x:v>
      </x:c>
    </x:row>
    <x:row r="119" ht="15" hidden="0" customHeight="1">
      <x:c r="A119" s="65" t="str">
        <x:v>corn_maize__nightshades</x:v>
      </x:c>
      <x:c r="B119" s="65" t="str">
        <x:v>corn_maize</x:v>
      </x:c>
      <x:c r="C119" s="65" t="str">
        <x:v>Mais</x:v>
      </x:c>
      <x:c r="D119" s="65" t="str">
        <x:v>Corn / Maize</x:v>
      </x:c>
      <x:c r="E119" s="65" t="str">
        <x:v>nightshades</x:v>
      </x:c>
      <x:c r="F119" s="65" t="str">
        <x:v>Solanacee (gruppo)</x:v>
      </x:c>
      <x:c r="G119" s="65" t="str">
        <x:v>Nightshades</x:v>
      </x:c>
      <x:c r="H119" s="65" t="str">
        <x:v>C</x:v>
      </x:c>
      <x:c r="I119" s="65" t="str">
        <x:v>Da evitare</x:v>
      </x:c>
      <x:c r="J119" s="65" t="str">
        <x:v>Simmetrica nella matrice</x:v>
      </x:c>
      <x:c r="K119" s="65" t="str">
        <x:v>GitHub/Wikipedia (Orto Mio riporta soltanto relazioni favorevoli)</x:v>
      </x:c>
      <x:c r="L119" s="65" t="str">
        <x:v>Non classificata scientificamente nel file</x:v>
      </x:c>
      <x:c r="M119" s="65" t="str">
        <x:v>Avviso forte; non divieto assoluto</x:v>
      </x:c>
      <x:c r="N119" s="65" t="str">
        <x:v>La matrice non conserva la direzione originaria Helps/Helped by del dataset GitHub.</x:v>
      </x:c>
    </x:row>
    <x:row r="120" ht="15" hidden="0" customHeight="1">
      <x:c r="A120" s="65" t="str">
        <x:v>corn_maize__peas</x:v>
      </x:c>
      <x:c r="B120" s="65" t="str">
        <x:v>corn_maize</x:v>
      </x:c>
      <x:c r="C120" s="65" t="str">
        <x:v>Mais</x:v>
      </x:c>
      <x:c r="D120" s="65" t="str">
        <x:v>Corn / Maize</x:v>
      </x:c>
      <x:c r="E120" s="65" t="str">
        <x:v>peas</x:v>
      </x:c>
      <x:c r="F120" s="65" t="str">
        <x:v>Pisello</x:v>
      </x:c>
      <x:c r="G120" s="65" t="str">
        <x:v>Peas</x:v>
      </x:c>
      <x:c r="H120" s="65" t="str">
        <x:v>B</x:v>
      </x:c>
      <x:c r="I120" s="65" t="str">
        <x:v>Favorevole</x:v>
      </x:c>
      <x:c r="J120" s="65" t="str">
        <x:v>Simmetrica nella matrice</x:v>
      </x:c>
      <x:c r="K120" s="65" t="str">
        <x:v>Matrice integrata GitHub/Wikipedia e/o Orto Mio</x:v>
      </x:c>
      <x:c r="L120" s="65" t="str">
        <x:v>Non classificata scientificamente nel file</x:v>
      </x:c>
      <x:c r="M120" s="65" t="str">
        <x:v>Preferenza agronomica; non vincolo rigido</x:v>
      </x:c>
      <x:c r="N120" s="65" t="str">
        <x:v>La matrice non conserva la direzione originaria Helps/Helped by del dataset GitHub.</x:v>
      </x:c>
    </x:row>
    <x:row r="121" ht="15" hidden="0" customHeight="1">
      <x:c r="A121" s="65" t="str">
        <x:v>corn_maize__potato</x:v>
      </x:c>
      <x:c r="B121" s="65" t="str">
        <x:v>corn_maize</x:v>
      </x:c>
      <x:c r="C121" s="65" t="str">
        <x:v>Mais</x:v>
      </x:c>
      <x:c r="D121" s="65" t="str">
        <x:v>Corn / Maize</x:v>
      </x:c>
      <x:c r="E121" s="65" t="str">
        <x:v>potato</x:v>
      </x:c>
      <x:c r="F121" s="65" t="str">
        <x:v>Patata</x:v>
      </x:c>
      <x:c r="G121" s="65" t="str">
        <x:v>Potato</x:v>
      </x:c>
      <x:c r="H121" s="65" t="str">
        <x:v>B</x:v>
      </x:c>
      <x:c r="I121" s="65" t="str">
        <x:v>Favorevole</x:v>
      </x:c>
      <x:c r="J121" s="65" t="str">
        <x:v>Simmetrica nella matrice</x:v>
      </x:c>
      <x:c r="K121" s="65" t="str">
        <x:v>Orto Mio; possibile presenza anche nel dataset GitHub/Wikipedia</x:v>
      </x:c>
      <x:c r="L121" s="65" t="str">
        <x:v>Non classificata scientificamente nel file</x:v>
      </x:c>
      <x:c r="M121" s="65" t="str">
        <x:v>Preferenza agronomica; non vincolo rigido</x:v>
      </x:c>
      <x:c r="N121" s="65" t="str">
        <x:v>La matrice non conserva la direzione originaria Helps/Helped by del dataset GitHub.</x:v>
      </x:c>
    </x:row>
    <x:row r="122" ht="15" hidden="0" customHeight="1">
      <x:c r="A122" s="65" t="str">
        <x:v>corn_maize__pumpkin</x:v>
      </x:c>
      <x:c r="B122" s="65" t="str">
        <x:v>corn_maize</x:v>
      </x:c>
      <x:c r="C122" s="65" t="str">
        <x:v>Mais</x:v>
      </x:c>
      <x:c r="D122" s="65" t="str">
        <x:v>Corn / Maize</x:v>
      </x:c>
      <x:c r="E122" s="65" t="str">
        <x:v>pumpkin</x:v>
      </x:c>
      <x:c r="F122" s="65" t="str">
        <x:v>Zucca</x:v>
      </x:c>
      <x:c r="G122" s="65" t="str">
        <x:v>Pumpkin</x:v>
      </x:c>
      <x:c r="H122" s="65" t="str">
        <x:v>B</x:v>
      </x:c>
      <x:c r="I122" s="65" t="str">
        <x:v>Favorevole</x:v>
      </x:c>
      <x:c r="J122" s="65" t="str">
        <x:v>Simmetrica nella matrice</x:v>
      </x:c>
      <x:c r="K122" s="65" t="str">
        <x:v>Orto Mio; possibile presenza anche nel dataset GitHub/Wikipedia</x:v>
      </x:c>
      <x:c r="L122" s="65" t="str">
        <x:v>Non classificata scientificamente nel file</x:v>
      </x:c>
      <x:c r="M122" s="65" t="str">
        <x:v>Preferenza agronomica; non vincolo rigido</x:v>
      </x:c>
      <x:c r="N122" s="65" t="str">
        <x:v>La matrice non conserva la direzione originaria Helps/Helped by del dataset GitHub.</x:v>
      </x:c>
    </x:row>
    <x:row r="123" ht="15" hidden="0" customHeight="1">
      <x:c r="A123" s="65" t="str">
        <x:v>corn_maize__soybean</x:v>
      </x:c>
      <x:c r="B123" s="65" t="str">
        <x:v>corn_maize</x:v>
      </x:c>
      <x:c r="C123" s="65" t="str">
        <x:v>Mais</x:v>
      </x:c>
      <x:c r="D123" s="65" t="str">
        <x:v>Corn / Maize</x:v>
      </x:c>
      <x:c r="E123" s="65" t="str">
        <x:v>soybean</x:v>
      </x:c>
      <x:c r="F123" s="65" t="str">
        <x:v>Soia</x:v>
      </x:c>
      <x:c r="G123" s="65" t="str">
        <x:v>Soybean</x:v>
      </x:c>
      <x:c r="H123" s="65" t="str">
        <x:v>B</x:v>
      </x:c>
      <x:c r="I123" s="65" t="str">
        <x:v>Favorevole</x:v>
      </x:c>
      <x:c r="J123" s="65" t="str">
        <x:v>Simmetrica nella matrice</x:v>
      </x:c>
      <x:c r="K123" s="65" t="str">
        <x:v>Matrice integrata GitHub/Wikipedia e/o Orto Mio</x:v>
      </x:c>
      <x:c r="L123" s="65" t="str">
        <x:v>Non classificata scientificamente nel file</x:v>
      </x:c>
      <x:c r="M123" s="65" t="str">
        <x:v>Preferenza agronomica; non vincolo rigido</x:v>
      </x:c>
      <x:c r="N123" s="65" t="str">
        <x:v>La matrice non conserva la direzione originaria Helps/Helped by del dataset GitHub.</x:v>
      </x:c>
    </x:row>
    <x:row r="124" ht="15" hidden="0" customHeight="1">
      <x:c r="A124" s="65" t="str">
        <x:v>corn_maize__squash</x:v>
      </x:c>
      <x:c r="B124" s="65" t="str">
        <x:v>corn_maize</x:v>
      </x:c>
      <x:c r="C124" s="65" t="str">
        <x:v>Mais</x:v>
      </x:c>
      <x:c r="D124" s="65" t="str">
        <x:v>Corn / Maize</x:v>
      </x:c>
      <x:c r="E124" s="65" t="str">
        <x:v>squash</x:v>
      </x:c>
      <x:c r="F124" s="65" t="str">
        <x:v>Zucchino / zucca estiva</x:v>
      </x:c>
      <x:c r="G124" s="65" t="str">
        <x:v>Squash</x:v>
      </x:c>
      <x:c r="H124" s="65" t="str">
        <x:v>B</x:v>
      </x:c>
      <x:c r="I124" s="65" t="str">
        <x:v>Favorevole</x:v>
      </x:c>
      <x:c r="J124" s="65" t="str">
        <x:v>Simmetrica nella matrice</x:v>
      </x:c>
      <x:c r="K124" s="65" t="str">
        <x:v>Matrice integrata GitHub/Wikipedia e/o Orto Mio</x:v>
      </x:c>
      <x:c r="L124" s="65" t="str">
        <x:v>Non classificata scientificamente nel file</x:v>
      </x:c>
      <x:c r="M124" s="65" t="str">
        <x:v>Preferenza agronomica; non vincolo rigido</x:v>
      </x:c>
      <x:c r="N124" s="65" t="str">
        <x:v>La matrice non conserva la direzione originaria Helps/Helped by del dataset GitHub.</x:v>
      </x:c>
    </x:row>
    <x:row r="125" ht="15" hidden="0" customHeight="1">
      <x:c r="A125" s="65" t="str">
        <x:v>corn_maize__tomatoes</x:v>
      </x:c>
      <x:c r="B125" s="65" t="str">
        <x:v>corn_maize</x:v>
      </x:c>
      <x:c r="C125" s="65" t="str">
        <x:v>Mais</x:v>
      </x:c>
      <x:c r="D125" s="65" t="str">
        <x:v>Corn / Maize</x:v>
      </x:c>
      <x:c r="E125" s="65" t="str">
        <x:v>tomatoes</x:v>
      </x:c>
      <x:c r="F125" s="65" t="str">
        <x:v>Pomodoro</x:v>
      </x:c>
      <x:c r="G125" s="65" t="str">
        <x:v>Tomatoes</x:v>
      </x:c>
      <x:c r="H125" s="65" t="str">
        <x:v>M</x:v>
      </x:c>
      <x:c r="I125" s="65" t="str">
        <x:v>Mista / fonti discordanti</x:v>
      </x:c>
      <x:c r="J125" s="65" t="str">
        <x:v>Simmetrica nella matrice</x:v>
      </x:c>
      <x:c r="K125" s="65" t="str">
        <x:v>GitHub/Wikipedia + Orto Mio (fonti discordanti)</x:v>
      </x:c>
      <x:c r="L125" s="65" t="str">
        <x:v>Non classificata scientificamente nel file</x:v>
      </x:c>
      <x:c r="M125" s="65" t="str">
        <x:v>Solo informativa; non usare per la disposizione automatica</x:v>
      </x:c>
      <x:c r="N125" s="65" t="str">
        <x:v>La matrice non conserva la direzione originaria Helps/Helped by del dataset GitHub.</x:v>
      </x:c>
    </x:row>
    <x:row r="126" ht="15" hidden="0" customHeight="1">
      <x:c r="A126" s="65" t="str">
        <x:v>cucumber__kohlrabi</x:v>
      </x:c>
      <x:c r="B126" s="65" t="str">
        <x:v>cucumber</x:v>
      </x:c>
      <x:c r="C126" s="65" t="str">
        <x:v>Cetriolo</x:v>
      </x:c>
      <x:c r="D126" s="65" t="str">
        <x:v>Cucumber</x:v>
      </x:c>
      <x:c r="E126" s="65" t="str">
        <x:v>kohlrabi</x:v>
      </x:c>
      <x:c r="F126" s="65" t="str">
        <x:v>Cavolo rapa</x:v>
      </x:c>
      <x:c r="G126" s="65" t="str">
        <x:v>Kohlrabi</x:v>
      </x:c>
      <x:c r="H126" s="65" t="str">
        <x:v>B</x:v>
      </x:c>
      <x:c r="I126" s="65" t="str">
        <x:v>Favorevole</x:v>
      </x:c>
      <x:c r="J126" s="65" t="str">
        <x:v>Simmetrica nella matrice</x:v>
      </x:c>
      <x:c r="K126" s="65" t="str">
        <x:v>Matrice integrata GitHub/Wikipedia e/o Orto Mio</x:v>
      </x:c>
      <x:c r="L126" s="65" t="str">
        <x:v>Non classificata scientificamente nel file</x:v>
      </x:c>
      <x:c r="M126" s="65" t="str">
        <x:v>Preferenza agronomica; non vincolo rigido</x:v>
      </x:c>
      <x:c r="N126" s="65" t="str">
        <x:v>La matrice non conserva la direzione originaria Helps/Helped by del dataset GitHub.</x:v>
      </x:c>
    </x:row>
    <x:row r="127" ht="15" hidden="0" customHeight="1">
      <x:c r="A127" s="65" t="str">
        <x:v>cucumber__legumes</x:v>
      </x:c>
      <x:c r="B127" s="65" t="str">
        <x:v>cucumber</x:v>
      </x:c>
      <x:c r="C127" s="65" t="str">
        <x:v>Cetriolo</x:v>
      </x:c>
      <x:c r="D127" s="65" t="str">
        <x:v>Cucumber</x:v>
      </x:c>
      <x:c r="E127" s="65" t="str">
        <x:v>legumes</x:v>
      </x:c>
      <x:c r="F127" s="65" t="str">
        <x:v>Leguminose (gruppo)</x:v>
      </x:c>
      <x:c r="G127" s="65" t="str">
        <x:v>Legumes</x:v>
      </x:c>
      <x:c r="H127" s="65" t="str">
        <x:v>B</x:v>
      </x:c>
      <x:c r="I127" s="65" t="str">
        <x:v>Favorevole</x:v>
      </x:c>
      <x:c r="J127" s="65" t="str">
        <x:v>Simmetrica nella matrice</x:v>
      </x:c>
      <x:c r="K127" s="65" t="str">
        <x:v>Orto Mio; possibile presenza anche nel dataset GitHub/Wikipedia</x:v>
      </x:c>
      <x:c r="L127" s="65" t="str">
        <x:v>Non classificata scientificamente nel file</x:v>
      </x:c>
      <x:c r="M127" s="65" t="str">
        <x:v>Preferenza agronomica; non vincolo rigido</x:v>
      </x:c>
      <x:c r="N127" s="65" t="str">
        <x:v>La matrice non conserva la direzione originaria Helps/Helped by del dataset GitHub.</x:v>
      </x:c>
    </x:row>
    <x:row r="128" ht="15" hidden="0" customHeight="1">
      <x:c r="A128" s="65" t="str">
        <x:v>cucumber__lettuce</x:v>
      </x:c>
      <x:c r="B128" s="65" t="str">
        <x:v>cucumber</x:v>
      </x:c>
      <x:c r="C128" s="65" t="str">
        <x:v>Cetriolo</x:v>
      </x:c>
      <x:c r="D128" s="65" t="str">
        <x:v>Cucumber</x:v>
      </x:c>
      <x:c r="E128" s="65" t="str">
        <x:v>lettuce</x:v>
      </x:c>
      <x:c r="F128" s="65" t="str">
        <x:v>Lattuga</x:v>
      </x:c>
      <x:c r="G128" s="65" t="str">
        <x:v>Lettuce</x:v>
      </x:c>
      <x:c r="H128" s="65" t="str">
        <x:v>B</x:v>
      </x:c>
      <x:c r="I128" s="65" t="str">
        <x:v>Favorevole</x:v>
      </x:c>
      <x:c r="J128" s="65" t="str">
        <x:v>Simmetrica nella matrice</x:v>
      </x:c>
      <x:c r="K128" s="65" t="str">
        <x:v>Orto Mio; possibile presenza anche nel dataset GitHub/Wikipedia</x:v>
      </x:c>
      <x:c r="L128" s="65" t="str">
        <x:v>Non classificata scientificamente nel file</x:v>
      </x:c>
      <x:c r="M128" s="65" t="str">
        <x:v>Preferenza agronomica; non vincolo rigido</x:v>
      </x:c>
      <x:c r="N128" s="65" t="str">
        <x:v>La matrice non conserva la direzione originaria Helps/Helped by del dataset GitHub.</x:v>
      </x:c>
    </x:row>
    <x:row r="129" ht="15" hidden="0" customHeight="1">
      <x:c r="A129" s="65" t="str">
        <x:v>cucumber__onion</x:v>
      </x:c>
      <x:c r="B129" s="65" t="str">
        <x:v>cucumber</x:v>
      </x:c>
      <x:c r="C129" s="65" t="str">
        <x:v>Cetriolo</x:v>
      </x:c>
      <x:c r="D129" s="65" t="str">
        <x:v>Cucumber</x:v>
      </x:c>
      <x:c r="E129" s="65" t="str">
        <x:v>onion</x:v>
      </x:c>
      <x:c r="F129" s="65" t="str">
        <x:v>Cipolla</x:v>
      </x:c>
      <x:c r="G129" s="65" t="str">
        <x:v>Onion</x:v>
      </x:c>
      <x:c r="H129" s="65" t="str">
        <x:v>B</x:v>
      </x:c>
      <x:c r="I129" s="65" t="str">
        <x:v>Favorevole</x:v>
      </x:c>
      <x:c r="J129" s="65" t="str">
        <x:v>Simmetrica nella matrice</x:v>
      </x:c>
      <x:c r="K129" s="65" t="str">
        <x:v>Orto Mio; possibile presenza anche nel dataset GitHub/Wikipedia</x:v>
      </x:c>
      <x:c r="L129" s="65" t="str">
        <x:v>Non classificata scientificamente nel file</x:v>
      </x:c>
      <x:c r="M129" s="65" t="str">
        <x:v>Preferenza agronomica; non vincolo rigido</x:v>
      </x:c>
      <x:c r="N129" s="65" t="str">
        <x:v>La matrice non conserva la direzione originaria Helps/Helped by del dataset GitHub.</x:v>
      </x:c>
    </x:row>
    <x:row r="130" ht="15" hidden="0" customHeight="1">
      <x:c r="A130" s="65" t="str">
        <x:v>cucumber__peas</x:v>
      </x:c>
      <x:c r="B130" s="65" t="str">
        <x:v>cucumber</x:v>
      </x:c>
      <x:c r="C130" s="65" t="str">
        <x:v>Cetriolo</x:v>
      </x:c>
      <x:c r="D130" s="65" t="str">
        <x:v>Cucumber</x:v>
      </x:c>
      <x:c r="E130" s="65" t="str">
        <x:v>peas</x:v>
      </x:c>
      <x:c r="F130" s="65" t="str">
        <x:v>Pisello</x:v>
      </x:c>
      <x:c r="G130" s="65" t="str">
        <x:v>Peas</x:v>
      </x:c>
      <x:c r="H130" s="65" t="str">
        <x:v>B</x:v>
      </x:c>
      <x:c r="I130" s="65" t="str">
        <x:v>Favorevole</x:v>
      </x:c>
      <x:c r="J130" s="65" t="str">
        <x:v>Simmetrica nella matrice</x:v>
      </x:c>
      <x:c r="K130" s="65" t="str">
        <x:v>Orto Mio; possibile presenza anche nel dataset GitHub/Wikipedia</x:v>
      </x:c>
      <x:c r="L130" s="65" t="str">
        <x:v>Non classificata scientificamente nel file</x:v>
      </x:c>
      <x:c r="M130" s="65" t="str">
        <x:v>Preferenza agronomica; non vincolo rigido</x:v>
      </x:c>
      <x:c r="N130" s="65" t="str">
        <x:v>La matrice non conserva la direzione originaria Helps/Helped by del dataset GitHub.</x:v>
      </x:c>
    </x:row>
    <x:row r="131" ht="15" hidden="0" customHeight="1">
      <x:c r="A131" s="65" t="str">
        <x:v>cucumber__potato</x:v>
      </x:c>
      <x:c r="B131" s="65" t="str">
        <x:v>cucumber</x:v>
      </x:c>
      <x:c r="C131" s="65" t="str">
        <x:v>Cetriolo</x:v>
      </x:c>
      <x:c r="D131" s="65" t="str">
        <x:v>Cucumber</x:v>
      </x:c>
      <x:c r="E131" s="65" t="str">
        <x:v>potato</x:v>
      </x:c>
      <x:c r="F131" s="65" t="str">
        <x:v>Patata</x:v>
      </x:c>
      <x:c r="G131" s="65" t="str">
        <x:v>Potato</x:v>
      </x:c>
      <x:c r="H131" s="65" t="str">
        <x:v>C</x:v>
      </x:c>
      <x:c r="I131" s="65" t="str">
        <x:v>Da evitare</x:v>
      </x:c>
      <x:c r="J131" s="65" t="str">
        <x:v>Simmetrica nella matrice</x:v>
      </x:c>
      <x:c r="K131" s="65" t="str">
        <x:v>GitHub/Wikipedia (Orto Mio riporta soltanto relazioni favorevoli)</x:v>
      </x:c>
      <x:c r="L131" s="65" t="str">
        <x:v>Non classificata scientificamente nel file</x:v>
      </x:c>
      <x:c r="M131" s="65" t="str">
        <x:v>Avviso forte; non divieto assoluto</x:v>
      </x:c>
      <x:c r="N131" s="65" t="str">
        <x:v>La matrice non conserva la direzione originaria Helps/Helped by del dataset GitHub.</x:v>
      </x:c>
    </x:row>
    <x:row r="132" ht="15" hidden="0" customHeight="1">
      <x:c r="A132" s="65" t="str">
        <x:v>cucumber__radish</x:v>
      </x:c>
      <x:c r="B132" s="65" t="str">
        <x:v>cucumber</x:v>
      </x:c>
      <x:c r="C132" s="65" t="str">
        <x:v>Cetriolo</x:v>
      </x:c>
      <x:c r="D132" s="65" t="str">
        <x:v>Cucumber</x:v>
      </x:c>
      <x:c r="E132" s="65" t="str">
        <x:v>radish</x:v>
      </x:c>
      <x:c r="F132" s="65" t="str">
        <x:v>Ravanello</x:v>
      </x:c>
      <x:c r="G132" s="65" t="str">
        <x:v>Radish</x:v>
      </x:c>
      <x:c r="H132" s="65" t="str">
        <x:v>B</x:v>
      </x:c>
      <x:c r="I132" s="65" t="str">
        <x:v>Favorevole</x:v>
      </x:c>
      <x:c r="J132" s="65" t="str">
        <x:v>Simmetrica nella matrice</x:v>
      </x:c>
      <x:c r="K132" s="65" t="str">
        <x:v>Matrice integrata GitHub/Wikipedia e/o Orto Mio</x:v>
      </x:c>
      <x:c r="L132" s="65" t="str">
        <x:v>Non classificata scientificamente nel file</x:v>
      </x:c>
      <x:c r="M132" s="65" t="str">
        <x:v>Preferenza agronomica; non vincolo rigido</x:v>
      </x:c>
      <x:c r="N132" s="65" t="str">
        <x:v>La matrice non conserva la direzione originaria Helps/Helped by del dataset GitHub.</x:v>
      </x:c>
    </x:row>
    <x:row r="133" ht="15" hidden="0" customHeight="1">
      <x:c r="A133" s="65" t="str">
        <x:v>cucumber__spinach</x:v>
      </x:c>
      <x:c r="B133" s="65" t="str">
        <x:v>cucumber</x:v>
      </x:c>
      <x:c r="C133" s="65" t="str">
        <x:v>Cetriolo</x:v>
      </x:c>
      <x:c r="D133" s="65" t="str">
        <x:v>Cucumber</x:v>
      </x:c>
      <x:c r="E133" s="65" t="str">
        <x:v>spinach</x:v>
      </x:c>
      <x:c r="F133" s="65" t="str">
        <x:v>Spinacio</x:v>
      </x:c>
      <x:c r="G133" s="65" t="str">
        <x:v>Spinach</x:v>
      </x:c>
      <x:c r="H133" s="65" t="str">
        <x:v>B</x:v>
      </x:c>
      <x:c r="I133" s="65" t="str">
        <x:v>Favorevole</x:v>
      </x:c>
      <x:c r="J133" s="65" t="str">
        <x:v>Simmetrica nella matrice</x:v>
      </x:c>
      <x:c r="K133" s="65" t="str">
        <x:v>Matrice integrata GitHub/Wikipedia e/o Orto Mio</x:v>
      </x:c>
      <x:c r="L133" s="65" t="str">
        <x:v>Non classificata scientificamente nel file</x:v>
      </x:c>
      <x:c r="M133" s="65" t="str">
        <x:v>Preferenza agronomica; non vincolo rigido</x:v>
      </x:c>
      <x:c r="N133" s="65" t="str">
        <x:v>La matrice non conserva la direzione originaria Helps/Helped by del dataset GitHub.</x:v>
      </x:c>
    </x:row>
    <x:row r="134" ht="15" hidden="0" customHeight="1">
      <x:c r="A134" s="65" t="str">
        <x:v>cucumber__basil</x:v>
      </x:c>
      <x:c r="B134" s="65" t="str">
        <x:v>cucumber</x:v>
      </x:c>
      <x:c r="C134" s="65" t="str">
        <x:v>Cetriolo</x:v>
      </x:c>
      <x:c r="D134" s="65" t="str">
        <x:v>Cucumber</x:v>
      </x:c>
      <x:c r="E134" s="65" t="str">
        <x:v>basil</x:v>
      </x:c>
      <x:c r="F134" s="65" t="str">
        <x:v>Basilico</x:v>
      </x:c>
      <x:c r="G134" s="65" t="str">
        <x:v>Basil</x:v>
      </x:c>
      <x:c r="H134" s="65" t="str">
        <x:v>B</x:v>
      </x:c>
      <x:c r="I134" s="65" t="str">
        <x:v>Favorevole</x:v>
      </x:c>
      <x:c r="J134" s="65" t="str">
        <x:v>Simmetrica nella matrice</x:v>
      </x:c>
      <x:c r="K134" s="65" t="str">
        <x:v>Orto Mio; possibile presenza anche nel dataset GitHub/Wikipedia</x:v>
      </x:c>
      <x:c r="L134" s="65" t="str">
        <x:v>Non classificata scientificamente nel file</x:v>
      </x:c>
      <x:c r="M134" s="65" t="str">
        <x:v>Preferenza agronomica; non vincolo rigido</x:v>
      </x:c>
      <x:c r="N134" s="65" t="str">
        <x:v>La matrice non conserva la direzione originaria Helps/Helped by del dataset GitHub.</x:v>
      </x:c>
    </x:row>
    <x:row r="135" ht="15" hidden="0" customHeight="1">
      <x:c r="A135" s="65" t="str">
        <x:v>eggplant_or_aubergine__legumes</x:v>
      </x:c>
      <x:c r="B135" s="65" t="str">
        <x:v>eggplant_or_aubergine</x:v>
      </x:c>
      <x:c r="C135" s="65" t="str">
        <x:v>Melanzana</x:v>
      </x:c>
      <x:c r="D135" s="65" t="str">
        <x:v>Eggplant or Aubergine</x:v>
      </x:c>
      <x:c r="E135" s="65" t="str">
        <x:v>legumes</x:v>
      </x:c>
      <x:c r="F135" s="65" t="str">
        <x:v>Leguminose (gruppo)</x:v>
      </x:c>
      <x:c r="G135" s="65" t="str">
        <x:v>Legumes</x:v>
      </x:c>
      <x:c r="H135" s="65" t="str">
        <x:v>B</x:v>
      </x:c>
      <x:c r="I135" s="65" t="str">
        <x:v>Favorevole</x:v>
      </x:c>
      <x:c r="J135" s="65" t="str">
        <x:v>Simmetrica nella matrice</x:v>
      </x:c>
      <x:c r="K135" s="65" t="str">
        <x:v>Matrice integrata GitHub/Wikipedia e/o Orto Mio</x:v>
      </x:c>
      <x:c r="L135" s="65" t="str">
        <x:v>Non classificata scientificamente nel file</x:v>
      </x:c>
      <x:c r="M135" s="65" t="str">
        <x:v>Preferenza agronomica; non vincolo rigido</x:v>
      </x:c>
      <x:c r="N135" s="65" t="str">
        <x:v>La matrice non conserva la direzione originaria Helps/Helped by del dataset GitHub.</x:v>
      </x:c>
    </x:row>
    <x:row r="136" ht="15" hidden="0" customHeight="1">
      <x:c r="A136" s="65" t="str">
        <x:v>eggplant_or_aubergine__lettuce</x:v>
      </x:c>
      <x:c r="B136" s="65" t="str">
        <x:v>eggplant_or_aubergine</x:v>
      </x:c>
      <x:c r="C136" s="65" t="str">
        <x:v>Melanzana</x:v>
      </x:c>
      <x:c r="D136" s="65" t="str">
        <x:v>Eggplant or Aubergine</x:v>
      </x:c>
      <x:c r="E136" s="65" t="str">
        <x:v>lettuce</x:v>
      </x:c>
      <x:c r="F136" s="65" t="str">
        <x:v>Lattuga</x:v>
      </x:c>
      <x:c r="G136" s="65" t="str">
        <x:v>Lettuce</x:v>
      </x:c>
      <x:c r="H136" s="65" t="str">
        <x:v>B</x:v>
      </x:c>
      <x:c r="I136" s="65" t="str">
        <x:v>Favorevole</x:v>
      </x:c>
      <x:c r="J136" s="65" t="str">
        <x:v>Simmetrica nella matrice</x:v>
      </x:c>
      <x:c r="K136" s="65" t="str">
        <x:v>Orto Mio; possibile presenza anche nel dataset GitHub/Wikipedia</x:v>
      </x:c>
      <x:c r="L136" s="65" t="str">
        <x:v>Non classificata scientificamente nel file</x:v>
      </x:c>
      <x:c r="M136" s="65" t="str">
        <x:v>Preferenza agronomica; non vincolo rigido</x:v>
      </x:c>
      <x:c r="N136" s="65" t="str">
        <x:v>La matrice non conserva la direzione originaria Helps/Helped by del dataset GitHub.</x:v>
      </x:c>
    </x:row>
    <x:row r="137" ht="15" hidden="0" customHeight="1">
      <x:c r="A137" s="65" t="str">
        <x:v>eggplant_or_aubergine__peppers</x:v>
      </x:c>
      <x:c r="B137" s="65" t="str">
        <x:v>eggplant_or_aubergine</x:v>
      </x:c>
      <x:c r="C137" s="65" t="str">
        <x:v>Melanzana</x:v>
      </x:c>
      <x:c r="D137" s="65" t="str">
        <x:v>Eggplant or Aubergine</x:v>
      </x:c>
      <x:c r="E137" s="65" t="str">
        <x:v>peppers</x:v>
      </x:c>
      <x:c r="F137" s="65" t="str">
        <x:v>Peperone</x:v>
      </x:c>
      <x:c r="G137" s="65" t="str">
        <x:v>Peppers</x:v>
      </x:c>
      <x:c r="H137" s="65" t="str">
        <x:v>B</x:v>
      </x:c>
      <x:c r="I137" s="65" t="str">
        <x:v>Favorevole</x:v>
      </x:c>
      <x:c r="J137" s="65" t="str">
        <x:v>Simmetrica nella matrice</x:v>
      </x:c>
      <x:c r="K137" s="65" t="str">
        <x:v>Matrice integrata GitHub/Wikipedia e/o Orto Mio</x:v>
      </x:c>
      <x:c r="L137" s="65" t="str">
        <x:v>Non classificata scientificamente nel file</x:v>
      </x:c>
      <x:c r="M137" s="65" t="str">
        <x:v>Preferenza agronomica; non vincolo rigido</x:v>
      </x:c>
      <x:c r="N137" s="65" t="str">
        <x:v>La matrice non conserva la direzione originaria Helps/Helped by del dataset GitHub.</x:v>
      </x:c>
    </x:row>
    <x:row r="138" ht="15" hidden="0" customHeight="1">
      <x:c r="A138" s="65" t="str">
        <x:v>eggplant_or_aubergine__radish</x:v>
      </x:c>
      <x:c r="B138" s="65" t="str">
        <x:v>eggplant_or_aubergine</x:v>
      </x:c>
      <x:c r="C138" s="65" t="str">
        <x:v>Melanzana</x:v>
      </x:c>
      <x:c r="D138" s="65" t="str">
        <x:v>Eggplant or Aubergine</x:v>
      </x:c>
      <x:c r="E138" s="65" t="str">
        <x:v>radish</x:v>
      </x:c>
      <x:c r="F138" s="65" t="str">
        <x:v>Ravanello</x:v>
      </x:c>
      <x:c r="G138" s="65" t="str">
        <x:v>Radish</x:v>
      </x:c>
      <x:c r="H138" s="65" t="str">
        <x:v>B</x:v>
      </x:c>
      <x:c r="I138" s="65" t="str">
        <x:v>Favorevole</x:v>
      </x:c>
      <x:c r="J138" s="65" t="str">
        <x:v>Simmetrica nella matrice</x:v>
      </x:c>
      <x:c r="K138" s="65" t="str">
        <x:v>Matrice integrata GitHub/Wikipedia e/o Orto Mio</x:v>
      </x:c>
      <x:c r="L138" s="65" t="str">
        <x:v>Non classificata scientificamente nel file</x:v>
      </x:c>
      <x:c r="M138" s="65" t="str">
        <x:v>Preferenza agronomica; non vincolo rigido</x:v>
      </x:c>
      <x:c r="N138" s="65" t="str">
        <x:v>La matrice non conserva la direzione originaria Helps/Helped by del dataset GitHub.</x:v>
      </x:c>
    </x:row>
    <x:row r="139" ht="15" hidden="0" customHeight="1">
      <x:c r="A139" s="65" t="str">
        <x:v>eggplant_or_aubergine__tomatoes</x:v>
      </x:c>
      <x:c r="B139" s="65" t="str">
        <x:v>eggplant_or_aubergine</x:v>
      </x:c>
      <x:c r="C139" s="65" t="str">
        <x:v>Melanzana</x:v>
      </x:c>
      <x:c r="D139" s="65" t="str">
        <x:v>Eggplant or Aubergine</x:v>
      </x:c>
      <x:c r="E139" s="65" t="str">
        <x:v>tomatoes</x:v>
      </x:c>
      <x:c r="F139" s="65" t="str">
        <x:v>Pomodoro</x:v>
      </x:c>
      <x:c r="G139" s="65" t="str">
        <x:v>Tomatoes</x:v>
      </x:c>
      <x:c r="H139" s="65" t="str">
        <x:v>B</x:v>
      </x:c>
      <x:c r="I139" s="65" t="str">
        <x:v>Favorevole</x:v>
      </x:c>
      <x:c r="J139" s="65" t="str">
        <x:v>Simmetrica nella matrice</x:v>
      </x:c>
      <x:c r="K139" s="65" t="str">
        <x:v>Matrice integrata GitHub/Wikipedia e/o Orto Mio</x:v>
      </x:c>
      <x:c r="L139" s="65" t="str">
        <x:v>Non classificata scientificamente nel file</x:v>
      </x:c>
      <x:c r="M139" s="65" t="str">
        <x:v>Preferenza agronomica; non vincolo rigido</x:v>
      </x:c>
      <x:c r="N139" s="65" t="str">
        <x:v>La matrice non conserva la direzione originaria Helps/Helped by del dataset GitHub.</x:v>
      </x:c>
    </x:row>
    <x:row r="140" ht="15" hidden="0" customHeight="1">
      <x:c r="A140" s="65" t="str">
        <x:v>kohlrabi__lettuce</x:v>
      </x:c>
      <x:c r="B140" s="65" t="str">
        <x:v>kohlrabi</x:v>
      </x:c>
      <x:c r="C140" s="65" t="str">
        <x:v>Cavolo rapa</x:v>
      </x:c>
      <x:c r="D140" s="65" t="str">
        <x:v>Kohlrabi</x:v>
      </x:c>
      <x:c r="E140" s="65" t="str">
        <x:v>lettuce</x:v>
      </x:c>
      <x:c r="F140" s="65" t="str">
        <x:v>Lattuga</x:v>
      </x:c>
      <x:c r="G140" s="65" t="str">
        <x:v>Lettuce</x:v>
      </x:c>
      <x:c r="H140" s="65" t="str">
        <x:v>B</x:v>
      </x:c>
      <x:c r="I140" s="65" t="str">
        <x:v>Favorevole</x:v>
      </x:c>
      <x:c r="J140" s="65" t="str">
        <x:v>Simmetrica nella matrice</x:v>
      </x:c>
      <x:c r="K140" s="65" t="str">
        <x:v>Orto Mio; possibile presenza anche nel dataset GitHub/Wikipedia</x:v>
      </x:c>
      <x:c r="L140" s="65" t="str">
        <x:v>Non classificata scientificamente nel file</x:v>
      </x:c>
      <x:c r="M140" s="65" t="str">
        <x:v>Preferenza agronomica; non vincolo rigido</x:v>
      </x:c>
      <x:c r="N140" s="65" t="str">
        <x:v>La matrice non conserva la direzione originaria Helps/Helped by del dataset GitHub.</x:v>
      </x:c>
    </x:row>
    <x:row r="141" ht="15" hidden="0" customHeight="1">
      <x:c r="A141" s="65" t="str">
        <x:v>kohlrabi__onion</x:v>
      </x:c>
      <x:c r="B141" s="65" t="str">
        <x:v>kohlrabi</x:v>
      </x:c>
      <x:c r="C141" s="65" t="str">
        <x:v>Cavolo rapa</x:v>
      </x:c>
      <x:c r="D141" s="65" t="str">
        <x:v>Kohlrabi</x:v>
      </x:c>
      <x:c r="E141" s="65" t="str">
        <x:v>onion</x:v>
      </x:c>
      <x:c r="F141" s="65" t="str">
        <x:v>Cipolla</x:v>
      </x:c>
      <x:c r="G141" s="65" t="str">
        <x:v>Onion</x:v>
      </x:c>
      <x:c r="H141" s="65" t="str">
        <x:v>B</x:v>
      </x:c>
      <x:c r="I141" s="65" t="str">
        <x:v>Favorevole</x:v>
      </x:c>
      <x:c r="J141" s="65" t="str">
        <x:v>Simmetrica nella matrice</x:v>
      </x:c>
      <x:c r="K141" s="65" t="str">
        <x:v>Orto Mio; possibile presenza anche nel dataset GitHub/Wikipedia</x:v>
      </x:c>
      <x:c r="L141" s="65" t="str">
        <x:v>Non classificata scientificamente nel file</x:v>
      </x:c>
      <x:c r="M141" s="65" t="str">
        <x:v>Preferenza agronomica; non vincolo rigido</x:v>
      </x:c>
      <x:c r="N141" s="65" t="str">
        <x:v>La matrice non conserva la direzione originaria Helps/Helped by del dataset GitHub.</x:v>
      </x:c>
    </x:row>
    <x:row r="142" ht="15" hidden="0" customHeight="1">
      <x:c r="A142" s="65" t="str">
        <x:v>leek__onion</x:v>
      </x:c>
      <x:c r="B142" s="65" t="str">
        <x:v>leek</x:v>
      </x:c>
      <x:c r="C142" s="65" t="str">
        <x:v>Porro</x:v>
      </x:c>
      <x:c r="D142" s="65" t="str">
        <x:v>Leek</x:v>
      </x:c>
      <x:c r="E142" s="65" t="str">
        <x:v>onion</x:v>
      </x:c>
      <x:c r="F142" s="65" t="str">
        <x:v>Cipolla</x:v>
      </x:c>
      <x:c r="G142" s="65" t="str">
        <x:v>Onion</x:v>
      </x:c>
      <x:c r="H142" s="65" t="str">
        <x:v>B</x:v>
      </x:c>
      <x:c r="I142" s="65" t="str">
        <x:v>Favorevole</x:v>
      </x:c>
      <x:c r="J142" s="65" t="str">
        <x:v>Simmetrica nella matrice</x:v>
      </x:c>
      <x:c r="K142" s="65" t="str">
        <x:v>Matrice integrata GitHub/Wikipedia e/o Orto Mio</x:v>
      </x:c>
      <x:c r="L142" s="65" t="str">
        <x:v>Non classificata scientificamente nel file</x:v>
      </x:c>
      <x:c r="M142" s="65" t="str">
        <x:v>Preferenza agronomica; non vincolo rigido</x:v>
      </x:c>
      <x:c r="N142" s="65" t="str">
        <x:v>La matrice non conserva la direzione originaria Helps/Helped by del dataset GitHub.</x:v>
      </x:c>
    </x:row>
    <x:row r="143" ht="15" hidden="0" customHeight="1">
      <x:c r="A143" s="65" t="str">
        <x:v>leek__tomatoes</x:v>
      </x:c>
      <x:c r="B143" s="65" t="str">
        <x:v>leek</x:v>
      </x:c>
      <x:c r="C143" s="65" t="str">
        <x:v>Porro</x:v>
      </x:c>
      <x:c r="D143" s="65" t="str">
        <x:v>Leek</x:v>
      </x:c>
      <x:c r="E143" s="65" t="str">
        <x:v>tomatoes</x:v>
      </x:c>
      <x:c r="F143" s="65" t="str">
        <x:v>Pomodoro</x:v>
      </x:c>
      <x:c r="G143" s="65" t="str">
        <x:v>Tomatoes</x:v>
      </x:c>
      <x:c r="H143" s="65" t="str">
        <x:v>B</x:v>
      </x:c>
      <x:c r="I143" s="65" t="str">
        <x:v>Favorevole</x:v>
      </x:c>
      <x:c r="J143" s="65" t="str">
        <x:v>Simmetrica nella matrice</x:v>
      </x:c>
      <x:c r="K143" s="65" t="str">
        <x:v>Matrice integrata GitHub/Wikipedia e/o Orto Mio</x:v>
      </x:c>
      <x:c r="L143" s="65" t="str">
        <x:v>Non classificata scientificamente nel file</x:v>
      </x:c>
      <x:c r="M143" s="65" t="str">
        <x:v>Preferenza agronomica; non vincolo rigido</x:v>
      </x:c>
      <x:c r="N143" s="65" t="str">
        <x:v>La matrice non conserva la direzione originaria Helps/Helped by del dataset GitHub.</x:v>
      </x:c>
    </x:row>
    <x:row r="144" ht="15" hidden="0" customHeight="1">
      <x:c r="A144" s="65" t="str">
        <x:v>leek__fennel</x:v>
      </x:c>
      <x:c r="B144" s="65" t="str">
        <x:v>leek</x:v>
      </x:c>
      <x:c r="C144" s="65" t="str">
        <x:v>Porro</x:v>
      </x:c>
      <x:c r="D144" s="65" t="str">
        <x:v>Leek</x:v>
      </x:c>
      <x:c r="E144" s="65" t="str">
        <x:v>fennel</x:v>
      </x:c>
      <x:c r="F144" s="65" t="str">
        <x:v>Finocchio</x:v>
      </x:c>
      <x:c r="G144" s="65" t="str">
        <x:v>Fennel</x:v>
      </x:c>
      <x:c r="H144" s="65" t="str">
        <x:v>B</x:v>
      </x:c>
      <x:c r="I144" s="65" t="str">
        <x:v>Favorevole</x:v>
      </x:c>
      <x:c r="J144" s="65" t="str">
        <x:v>Simmetrica nella matrice</x:v>
      </x:c>
      <x:c r="K144" s="65" t="str">
        <x:v>Orto Mio; possibile presenza anche nel dataset GitHub/Wikipedia</x:v>
      </x:c>
      <x:c r="L144" s="65" t="str">
        <x:v>Non classificata scientificamente nel file</x:v>
      </x:c>
      <x:c r="M144" s="65" t="str">
        <x:v>Preferenza agronomica; non vincolo rigido</x:v>
      </x:c>
      <x:c r="N144" s="65" t="str">
        <x:v>La matrice non conserva la direzione originaria Helps/Helped by del dataset GitHub.</x:v>
      </x:c>
    </x:row>
    <x:row r="145" ht="15" hidden="0" customHeight="1">
      <x:c r="A145" s="65" t="str">
        <x:v>leek__arugula</x:v>
      </x:c>
      <x:c r="B145" s="65" t="str">
        <x:v>leek</x:v>
      </x:c>
      <x:c r="C145" s="65" t="str">
        <x:v>Porro</x:v>
      </x:c>
      <x:c r="D145" s="65" t="str">
        <x:v>Leek</x:v>
      </x:c>
      <x:c r="E145" s="65" t="str">
        <x:v>arugula</x:v>
      </x:c>
      <x:c r="F145" s="65" t="str">
        <x:v>Rucola</x:v>
      </x:c>
      <x:c r="G145" s="65" t="str">
        <x:v>Arugula</x:v>
      </x:c>
      <x:c r="H145" s="65" t="str">
        <x:v>B</x:v>
      </x:c>
      <x:c r="I145" s="65" t="str">
        <x:v>Favorevole</x:v>
      </x:c>
      <x:c r="J145" s="65" t="str">
        <x:v>Simmetrica nella matrice</x:v>
      </x:c>
      <x:c r="K145" s="65" t="str">
        <x:v>Orto Mio; possibile presenza anche nel dataset GitHub/Wikipedia</x:v>
      </x:c>
      <x:c r="L145" s="65" t="str">
        <x:v>Non classificata scientificamente nel file</x:v>
      </x:c>
      <x:c r="M145" s="65" t="str">
        <x:v>Preferenza agronomica; non vincolo rigido</x:v>
      </x:c>
      <x:c r="N145" s="65" t="str">
        <x:v>La matrice non conserva la direzione originaria Helps/Helped by del dataset GitHub.</x:v>
      </x:c>
    </x:row>
    <x:row r="146" ht="15" hidden="0" customHeight="1">
      <x:c r="A146" s="65" t="str">
        <x:v>leek__corn_salad</x:v>
      </x:c>
      <x:c r="B146" s="65" t="str">
        <x:v>leek</x:v>
      </x:c>
      <x:c r="C146" s="65" t="str">
        <x:v>Porro</x:v>
      </x:c>
      <x:c r="D146" s="65" t="str">
        <x:v>Leek</x:v>
      </x:c>
      <x:c r="E146" s="65" t="str">
        <x:v>corn_salad</x:v>
      </x:c>
      <x:c r="F146" s="65" t="str">
        <x:v>Valeriana</x:v>
      </x:c>
      <x:c r="G146" s="65" t="str">
        <x:v>Corn salad</x:v>
      </x:c>
      <x:c r="H146" s="65" t="str">
        <x:v>B</x:v>
      </x:c>
      <x:c r="I146" s="65" t="str">
        <x:v>Favorevole</x:v>
      </x:c>
      <x:c r="J146" s="65" t="str">
        <x:v>Simmetrica nella matrice</x:v>
      </x:c>
      <x:c r="K146" s="65" t="str">
        <x:v>Orto Mio; possibile presenza anche nel dataset GitHub/Wikipedia</x:v>
      </x:c>
      <x:c r="L146" s="65" t="str">
        <x:v>Non classificata scientificamente nel file</x:v>
      </x:c>
      <x:c r="M146" s="65" t="str">
        <x:v>Preferenza agronomica; non vincolo rigido</x:v>
      </x:c>
      <x:c r="N146" s="65" t="str">
        <x:v>La matrice non conserva la direzione originaria Helps/Helped by del dataset GitHub.</x:v>
      </x:c>
    </x:row>
    <x:row r="147" ht="15" hidden="0" customHeight="1">
      <x:c r="A147" s="65" t="str">
        <x:v>legumes__lettuce</x:v>
      </x:c>
      <x:c r="B147" s="65" t="str">
        <x:v>legumes</x:v>
      </x:c>
      <x:c r="C147" s="65" t="str">
        <x:v>Leguminose (gruppo)</x:v>
      </x:c>
      <x:c r="D147" s="65" t="str">
        <x:v>Legumes</x:v>
      </x:c>
      <x:c r="E147" s="65" t="str">
        <x:v>lettuce</x:v>
      </x:c>
      <x:c r="F147" s="65" t="str">
        <x:v>Lattuga</x:v>
      </x:c>
      <x:c r="G147" s="65" t="str">
        <x:v>Lettuce</x:v>
      </x:c>
      <x:c r="H147" s="65" t="str">
        <x:v>B</x:v>
      </x:c>
      <x:c r="I147" s="65" t="str">
        <x:v>Favorevole</x:v>
      </x:c>
      <x:c r="J147" s="65" t="str">
        <x:v>Simmetrica nella matrice</x:v>
      </x:c>
      <x:c r="K147" s="65" t="str">
        <x:v>Matrice integrata GitHub/Wikipedia e/o Orto Mio</x:v>
      </x:c>
      <x:c r="L147" s="65" t="str">
        <x:v>Non classificata scientificamente nel file</x:v>
      </x:c>
      <x:c r="M147" s="65" t="str">
        <x:v>Preferenza agronomica; non vincolo rigido</x:v>
      </x:c>
      <x:c r="N147" s="65" t="str">
        <x:v>La matrice non conserva la direzione originaria Helps/Helped by del dataset GitHub.</x:v>
      </x:c>
    </x:row>
    <x:row r="148" ht="15" hidden="0" customHeight="1">
      <x:c r="A148" s="65" t="str">
        <x:v>legumes__mustard</x:v>
      </x:c>
      <x:c r="B148" s="65" t="str">
        <x:v>legumes</x:v>
      </x:c>
      <x:c r="C148" s="65" t="str">
        <x:v>Leguminose (gruppo)</x:v>
      </x:c>
      <x:c r="D148" s="65" t="str">
        <x:v>Legumes</x:v>
      </x:c>
      <x:c r="E148" s="65" t="str">
        <x:v>mustard</x:v>
      </x:c>
      <x:c r="F148" s="65" t="str">
        <x:v>Senape</x:v>
      </x:c>
      <x:c r="G148" s="65" t="str">
        <x:v>Mustard</x:v>
      </x:c>
      <x:c r="H148" s="65" t="str">
        <x:v>B</x:v>
      </x:c>
      <x:c r="I148" s="65" t="str">
        <x:v>Favorevole</x:v>
      </x:c>
      <x:c r="J148" s="65" t="str">
        <x:v>Simmetrica nella matrice</x:v>
      </x:c>
      <x:c r="K148" s="65" t="str">
        <x:v>Matrice integrata GitHub/Wikipedia e/o Orto Mio</x:v>
      </x:c>
      <x:c r="L148" s="65" t="str">
        <x:v>Non classificata scientificamente nel file</x:v>
      </x:c>
      <x:c r="M148" s="65" t="str">
        <x:v>Preferenza agronomica; non vincolo rigido</x:v>
      </x:c>
      <x:c r="N148" s="65" t="str">
        <x:v>La matrice non conserva la direzione originaria Helps/Helped by del dataset GitHub.</x:v>
      </x:c>
    </x:row>
    <x:row r="149" ht="15" hidden="0" customHeight="1">
      <x:c r="A149" s="65" t="str">
        <x:v>legumes__nightshades</x:v>
      </x:c>
      <x:c r="B149" s="65" t="str">
        <x:v>legumes</x:v>
      </x:c>
      <x:c r="C149" s="65" t="str">
        <x:v>Leguminose (gruppo)</x:v>
      </x:c>
      <x:c r="D149" s="65" t="str">
        <x:v>Legumes</x:v>
      </x:c>
      <x:c r="E149" s="65" t="str">
        <x:v>nightshades</x:v>
      </x:c>
      <x:c r="F149" s="65" t="str">
        <x:v>Solanacee (gruppo)</x:v>
      </x:c>
      <x:c r="G149" s="65" t="str">
        <x:v>Nightshades</x:v>
      </x:c>
      <x:c r="H149" s="65" t="str">
        <x:v>C</x:v>
      </x:c>
      <x:c r="I149" s="65" t="str">
        <x:v>Da evitare</x:v>
      </x:c>
      <x:c r="J149" s="65" t="str">
        <x:v>Simmetrica nella matrice</x:v>
      </x:c>
      <x:c r="K149" s="65" t="str">
        <x:v>GitHub/Wikipedia (Orto Mio riporta soltanto relazioni favorevoli)</x:v>
      </x:c>
      <x:c r="L149" s="65" t="str">
        <x:v>Non classificata scientificamente nel file</x:v>
      </x:c>
      <x:c r="M149" s="65" t="str">
        <x:v>Avviso forte; non divieto assoluto</x:v>
      </x:c>
      <x:c r="N149" s="65" t="str">
        <x:v>La matrice non conserva la direzione originaria Helps/Helped by del dataset GitHub.</x:v>
      </x:c>
    </x:row>
    <x:row r="150" ht="15" hidden="0" customHeight="1">
      <x:c r="A150" s="65" t="str">
        <x:v>legumes__okra</x:v>
      </x:c>
      <x:c r="B150" s="65" t="str">
        <x:v>legumes</x:v>
      </x:c>
      <x:c r="C150" s="65" t="str">
        <x:v>Leguminose (gruppo)</x:v>
      </x:c>
      <x:c r="D150" s="65" t="str">
        <x:v>Legumes</x:v>
      </x:c>
      <x:c r="E150" s="65" t="str">
        <x:v>okra</x:v>
      </x:c>
      <x:c r="F150" s="65" t="str">
        <x:v>Okra</x:v>
      </x:c>
      <x:c r="G150" s="65" t="str">
        <x:v>Okra</x:v>
      </x:c>
      <x:c r="H150" s="65" t="str">
        <x:v>B</x:v>
      </x:c>
      <x:c r="I150" s="65" t="str">
        <x:v>Favorevole</x:v>
      </x:c>
      <x:c r="J150" s="65" t="str">
        <x:v>Simmetrica nella matrice</x:v>
      </x:c>
      <x:c r="K150" s="65" t="str">
        <x:v>Matrice integrata GitHub/Wikipedia e/o Orto Mio</x:v>
      </x:c>
      <x:c r="L150" s="65" t="str">
        <x:v>Non classificata scientificamente nel file</x:v>
      </x:c>
      <x:c r="M150" s="65" t="str">
        <x:v>Preferenza agronomica; non vincolo rigido</x:v>
      </x:c>
      <x:c r="N150" s="65" t="str">
        <x:v>La matrice non conserva la direzione originaria Helps/Helped by del dataset GitHub.</x:v>
      </x:c>
    </x:row>
    <x:row r="151" ht="15" hidden="0" customHeight="1">
      <x:c r="A151" s="65" t="str">
        <x:v>legumes__onion</x:v>
      </x:c>
      <x:c r="B151" s="65" t="str">
        <x:v>legumes</x:v>
      </x:c>
      <x:c r="C151" s="65" t="str">
        <x:v>Leguminose (gruppo)</x:v>
      </x:c>
      <x:c r="D151" s="65" t="str">
        <x:v>Legumes</x:v>
      </x:c>
      <x:c r="E151" s="65" t="str">
        <x:v>onion</x:v>
      </x:c>
      <x:c r="F151" s="65" t="str">
        <x:v>Cipolla</x:v>
      </x:c>
      <x:c r="G151" s="65" t="str">
        <x:v>Onion</x:v>
      </x:c>
      <x:c r="H151" s="65" t="str">
        <x:v>B</x:v>
      </x:c>
      <x:c r="I151" s="65" t="str">
        <x:v>Favorevole</x:v>
      </x:c>
      <x:c r="J151" s="65" t="str">
        <x:v>Simmetrica nella matrice</x:v>
      </x:c>
      <x:c r="K151" s="65" t="str">
        <x:v>Matrice integrata GitHub/Wikipedia e/o Orto Mio</x:v>
      </x:c>
      <x:c r="L151" s="65" t="str">
        <x:v>Non classificata scientificamente nel file</x:v>
      </x:c>
      <x:c r="M151" s="65" t="str">
        <x:v>Preferenza agronomica; non vincolo rigido</x:v>
      </x:c>
      <x:c r="N151" s="65" t="str">
        <x:v>La matrice non conserva la direzione originaria Helps/Helped by del dataset GitHub.</x:v>
      </x:c>
    </x:row>
    <x:row r="152" ht="15" hidden="0" customHeight="1">
      <x:c r="A152" s="65" t="str">
        <x:v>legumes__peas</x:v>
      </x:c>
      <x:c r="B152" s="65" t="str">
        <x:v>legumes</x:v>
      </x:c>
      <x:c r="C152" s="65" t="str">
        <x:v>Leguminose (gruppo)</x:v>
      </x:c>
      <x:c r="D152" s="65" t="str">
        <x:v>Legumes</x:v>
      </x:c>
      <x:c r="E152" s="65" t="str">
        <x:v>peas</x:v>
      </x:c>
      <x:c r="F152" s="65" t="str">
        <x:v>Pisello</x:v>
      </x:c>
      <x:c r="G152" s="65" t="str">
        <x:v>Peas</x:v>
      </x:c>
      <x:c r="H152" s="65" t="str">
        <x:v>B</x:v>
      </x:c>
      <x:c r="I152" s="65" t="str">
        <x:v>Favorevole</x:v>
      </x:c>
      <x:c r="J152" s="65" t="str">
        <x:v>Simmetrica nella matrice</x:v>
      </x:c>
      <x:c r="K152" s="65" t="str">
        <x:v>Matrice integrata GitHub/Wikipedia e/o Orto Mio</x:v>
      </x:c>
      <x:c r="L152" s="65" t="str">
        <x:v>Non classificata scientificamente nel file</x:v>
      </x:c>
      <x:c r="M152" s="65" t="str">
        <x:v>Preferenza agronomica; non vincolo rigido</x:v>
      </x:c>
      <x:c r="N152" s="65" t="str">
        <x:v>La matrice non conserva la direzione originaria Helps/Helped by del dataset GitHub.</x:v>
      </x:c>
    </x:row>
    <x:row r="153" ht="15" hidden="0" customHeight="1">
      <x:c r="A153" s="65" t="str">
        <x:v>legumes__peppers</x:v>
      </x:c>
      <x:c r="B153" s="65" t="str">
        <x:v>legumes</x:v>
      </x:c>
      <x:c r="C153" s="65" t="str">
        <x:v>Leguminose (gruppo)</x:v>
      </x:c>
      <x:c r="D153" s="65" t="str">
        <x:v>Legumes</x:v>
      </x:c>
      <x:c r="E153" s="65" t="str">
        <x:v>peppers</x:v>
      </x:c>
      <x:c r="F153" s="65" t="str">
        <x:v>Peperone</x:v>
      </x:c>
      <x:c r="G153" s="65" t="str">
        <x:v>Peppers</x:v>
      </x:c>
      <x:c r="H153" s="65" t="str">
        <x:v>M</x:v>
      </x:c>
      <x:c r="I153" s="65" t="str">
        <x:v>Mista / fonti discordanti</x:v>
      </x:c>
      <x:c r="J153" s="65" t="str">
        <x:v>Simmetrica nella matrice</x:v>
      </x:c>
      <x:c r="K153" s="65" t="str">
        <x:v>GitHub/Wikipedia + Orto Mio (fonti discordanti)</x:v>
      </x:c>
      <x:c r="L153" s="65" t="str">
        <x:v>Non classificata scientificamente nel file</x:v>
      </x:c>
      <x:c r="M153" s="65" t="str">
        <x:v>Solo informativa; non usare per la disposizione automatica</x:v>
      </x:c>
      <x:c r="N153" s="65" t="str">
        <x:v>La matrice non conserva la direzione originaria Helps/Helped by del dataset GitHub.</x:v>
      </x:c>
    </x:row>
    <x:row r="154" ht="15" hidden="0" customHeight="1">
      <x:c r="A154" s="65" t="str">
        <x:v>legumes__potato</x:v>
      </x:c>
      <x:c r="B154" s="65" t="str">
        <x:v>legumes</x:v>
      </x:c>
      <x:c r="C154" s="65" t="str">
        <x:v>Leguminose (gruppo)</x:v>
      </x:c>
      <x:c r="D154" s="65" t="str">
        <x:v>Legumes</x:v>
      </x:c>
      <x:c r="E154" s="65" t="str">
        <x:v>potato</x:v>
      </x:c>
      <x:c r="F154" s="65" t="str">
        <x:v>Patata</x:v>
      </x:c>
      <x:c r="G154" s="65" t="str">
        <x:v>Potato</x:v>
      </x:c>
      <x:c r="H154" s="65" t="str">
        <x:v>B</x:v>
      </x:c>
      <x:c r="I154" s="65" t="str">
        <x:v>Favorevole</x:v>
      </x:c>
      <x:c r="J154" s="65" t="str">
        <x:v>Simmetrica nella matrice</x:v>
      </x:c>
      <x:c r="K154" s="65" t="str">
        <x:v>Matrice integrata GitHub/Wikipedia e/o Orto Mio</x:v>
      </x:c>
      <x:c r="L154" s="65" t="str">
        <x:v>Non classificata scientificamente nel file</x:v>
      </x:c>
      <x:c r="M154" s="65" t="str">
        <x:v>Preferenza agronomica; non vincolo rigido</x:v>
      </x:c>
      <x:c r="N154" s="65" t="str">
        <x:v>La matrice non conserva la direzione originaria Helps/Helped by del dataset GitHub.</x:v>
      </x:c>
    </x:row>
    <x:row r="155" ht="15" hidden="0" customHeight="1">
      <x:c r="A155" s="65" t="str">
        <x:v>legumes__pumpkin</x:v>
      </x:c>
      <x:c r="B155" s="65" t="str">
        <x:v>legumes</x:v>
      </x:c>
      <x:c r="C155" s="65" t="str">
        <x:v>Leguminose (gruppo)</x:v>
      </x:c>
      <x:c r="D155" s="65" t="str">
        <x:v>Legumes</x:v>
      </x:c>
      <x:c r="E155" s="65" t="str">
        <x:v>pumpkin</x:v>
      </x:c>
      <x:c r="F155" s="65" t="str">
        <x:v>Zucca</x:v>
      </x:c>
      <x:c r="G155" s="65" t="str">
        <x:v>Pumpkin</x:v>
      </x:c>
      <x:c r="H155" s="65" t="str">
        <x:v>B</x:v>
      </x:c>
      <x:c r="I155" s="65" t="str">
        <x:v>Favorevole</x:v>
      </x:c>
      <x:c r="J155" s="65" t="str">
        <x:v>Simmetrica nella matrice</x:v>
      </x:c>
      <x:c r="K155" s="65" t="str">
        <x:v>Matrice integrata GitHub/Wikipedia e/o Orto Mio</x:v>
      </x:c>
      <x:c r="L155" s="65" t="str">
        <x:v>Non classificata scientificamente nel file</x:v>
      </x:c>
      <x:c r="M155" s="65" t="str">
        <x:v>Preferenza agronomica; non vincolo rigido</x:v>
      </x:c>
      <x:c r="N155" s="65" t="str">
        <x:v>La matrice non conserva la direzione originaria Helps/Helped by del dataset GitHub.</x:v>
      </x:c>
    </x:row>
    <x:row r="156" ht="15" hidden="0" customHeight="1">
      <x:c r="A156" s="65" t="str">
        <x:v>legumes__radish</x:v>
      </x:c>
      <x:c r="B156" s="65" t="str">
        <x:v>legumes</x:v>
      </x:c>
      <x:c r="C156" s="65" t="str">
        <x:v>Leguminose (gruppo)</x:v>
      </x:c>
      <x:c r="D156" s="65" t="str">
        <x:v>Legumes</x:v>
      </x:c>
      <x:c r="E156" s="65" t="str">
        <x:v>radish</x:v>
      </x:c>
      <x:c r="F156" s="65" t="str">
        <x:v>Ravanello</x:v>
      </x:c>
      <x:c r="G156" s="65" t="str">
        <x:v>Radish</x:v>
      </x:c>
      <x:c r="H156" s="65" t="str">
        <x:v>B</x:v>
      </x:c>
      <x:c r="I156" s="65" t="str">
        <x:v>Favorevole</x:v>
      </x:c>
      <x:c r="J156" s="65" t="str">
        <x:v>Simmetrica nella matrice</x:v>
      </x:c>
      <x:c r="K156" s="65" t="str">
        <x:v>Matrice integrata GitHub/Wikipedia e/o Orto Mio</x:v>
      </x:c>
      <x:c r="L156" s="65" t="str">
        <x:v>Non classificata scientificamente nel file</x:v>
      </x:c>
      <x:c r="M156" s="65" t="str">
        <x:v>Preferenza agronomica; non vincolo rigido</x:v>
      </x:c>
      <x:c r="N156" s="65" t="str">
        <x:v>La matrice non conserva la direzione originaria Helps/Helped by del dataset GitHub.</x:v>
      </x:c>
    </x:row>
    <x:row r="157" ht="15" hidden="0" customHeight="1">
      <x:c r="A157" s="65" t="str">
        <x:v>legumes__soybean</x:v>
      </x:c>
      <x:c r="B157" s="65" t="str">
        <x:v>legumes</x:v>
      </x:c>
      <x:c r="C157" s="65" t="str">
        <x:v>Leguminose (gruppo)</x:v>
      </x:c>
      <x:c r="D157" s="65" t="str">
        <x:v>Legumes</x:v>
      </x:c>
      <x:c r="E157" s="65" t="str">
        <x:v>soybean</x:v>
      </x:c>
      <x:c r="F157" s="65" t="str">
        <x:v>Soia</x:v>
      </x:c>
      <x:c r="G157" s="65" t="str">
        <x:v>Soybean</x:v>
      </x:c>
      <x:c r="H157" s="65" t="str">
        <x:v>B</x:v>
      </x:c>
      <x:c r="I157" s="65" t="str">
        <x:v>Favorevole</x:v>
      </x:c>
      <x:c r="J157" s="65" t="str">
        <x:v>Simmetrica nella matrice</x:v>
      </x:c>
      <x:c r="K157" s="65" t="str">
        <x:v>Matrice integrata GitHub/Wikipedia e/o Orto Mio</x:v>
      </x:c>
      <x:c r="L157" s="65" t="str">
        <x:v>Non classificata scientificamente nel file</x:v>
      </x:c>
      <x:c r="M157" s="65" t="str">
        <x:v>Preferenza agronomica; non vincolo rigido</x:v>
      </x:c>
      <x:c r="N157" s="65" t="str">
        <x:v>La matrice non conserva la direzione originaria Helps/Helped by del dataset GitHub.</x:v>
      </x:c>
    </x:row>
    <x:row r="158" ht="15" hidden="0" customHeight="1">
      <x:c r="A158" s="65" t="str">
        <x:v>legumes__spinach</x:v>
      </x:c>
      <x:c r="B158" s="65" t="str">
        <x:v>legumes</x:v>
      </x:c>
      <x:c r="C158" s="65" t="str">
        <x:v>Leguminose (gruppo)</x:v>
      </x:c>
      <x:c r="D158" s="65" t="str">
        <x:v>Legumes</x:v>
      </x:c>
      <x:c r="E158" s="65" t="str">
        <x:v>spinach</x:v>
      </x:c>
      <x:c r="F158" s="65" t="str">
        <x:v>Spinacio</x:v>
      </x:c>
      <x:c r="G158" s="65" t="str">
        <x:v>Spinach</x:v>
      </x:c>
      <x:c r="H158" s="65" t="str">
        <x:v>B</x:v>
      </x:c>
      <x:c r="I158" s="65" t="str">
        <x:v>Favorevole</x:v>
      </x:c>
      <x:c r="J158" s="65" t="str">
        <x:v>Simmetrica nella matrice</x:v>
      </x:c>
      <x:c r="K158" s="65" t="str">
        <x:v>Matrice integrata GitHub/Wikipedia e/o Orto Mio</x:v>
      </x:c>
      <x:c r="L158" s="65" t="str">
        <x:v>Non classificata scientificamente nel file</x:v>
      </x:c>
      <x:c r="M158" s="65" t="str">
        <x:v>Preferenza agronomica; non vincolo rigido</x:v>
      </x:c>
      <x:c r="N158" s="65" t="str">
        <x:v>La matrice non conserva la direzione originaria Helps/Helped by del dataset GitHub.</x:v>
      </x:c>
    </x:row>
    <x:row r="159" ht="15" hidden="0" customHeight="1">
      <x:c r="A159" s="65" t="str">
        <x:v>legumes__squash</x:v>
      </x:c>
      <x:c r="B159" s="65" t="str">
        <x:v>legumes</x:v>
      </x:c>
      <x:c r="C159" s="65" t="str">
        <x:v>Leguminose (gruppo)</x:v>
      </x:c>
      <x:c r="D159" s="65" t="str">
        <x:v>Legumes</x:v>
      </x:c>
      <x:c r="E159" s="65" t="str">
        <x:v>squash</x:v>
      </x:c>
      <x:c r="F159" s="65" t="str">
        <x:v>Zucchino / zucca estiva</x:v>
      </x:c>
      <x:c r="G159" s="65" t="str">
        <x:v>Squash</x:v>
      </x:c>
      <x:c r="H159" s="65" t="str">
        <x:v>B</x:v>
      </x:c>
      <x:c r="I159" s="65" t="str">
        <x:v>Favorevole</x:v>
      </x:c>
      <x:c r="J159" s="65" t="str">
        <x:v>Simmetrica nella matrice</x:v>
      </x:c>
      <x:c r="K159" s="65" t="str">
        <x:v>Matrice integrata GitHub/Wikipedia e/o Orto Mio</x:v>
      </x:c>
      <x:c r="L159" s="65" t="str">
        <x:v>Non classificata scientificamente nel file</x:v>
      </x:c>
      <x:c r="M159" s="65" t="str">
        <x:v>Preferenza agronomica; non vincolo rigido</x:v>
      </x:c>
      <x:c r="N159" s="65" t="str">
        <x:v>La matrice non conserva la direzione originaria Helps/Helped by del dataset GitHub.</x:v>
      </x:c>
    </x:row>
    <x:row r="160" ht="15" hidden="0" customHeight="1">
      <x:c r="A160" s="65" t="str">
        <x:v>legumes__tomatoes</x:v>
      </x:c>
      <x:c r="B160" s="65" t="str">
        <x:v>legumes</x:v>
      </x:c>
      <x:c r="C160" s="65" t="str">
        <x:v>Leguminose (gruppo)</x:v>
      </x:c>
      <x:c r="D160" s="65" t="str">
        <x:v>Legumes</x:v>
      </x:c>
      <x:c r="E160" s="65" t="str">
        <x:v>tomatoes</x:v>
      </x:c>
      <x:c r="F160" s="65" t="str">
        <x:v>Pomodoro</x:v>
      </x:c>
      <x:c r="G160" s="65" t="str">
        <x:v>Tomatoes</x:v>
      </x:c>
      <x:c r="H160" s="65" t="str">
        <x:v>B</x:v>
      </x:c>
      <x:c r="I160" s="65" t="str">
        <x:v>Favorevole</x:v>
      </x:c>
      <x:c r="J160" s="65" t="str">
        <x:v>Simmetrica nella matrice</x:v>
      </x:c>
      <x:c r="K160" s="65" t="str">
        <x:v>Matrice integrata GitHub/Wikipedia e/o Orto Mio</x:v>
      </x:c>
      <x:c r="L160" s="65" t="str">
        <x:v>Non classificata scientificamente nel file</x:v>
      </x:c>
      <x:c r="M160" s="65" t="str">
        <x:v>Preferenza agronomica; non vincolo rigido</x:v>
      </x:c>
      <x:c r="N160" s="65" t="str">
        <x:v>La matrice non conserva la direzione originaria Helps/Helped by del dataset GitHub.</x:v>
      </x:c>
    </x:row>
    <x:row r="161" ht="15" hidden="0" customHeight="1">
      <x:c r="A161" s="65" t="str">
        <x:v>legumes__fennel</x:v>
      </x:c>
      <x:c r="B161" s="65" t="str">
        <x:v>legumes</x:v>
      </x:c>
      <x:c r="C161" s="65" t="str">
        <x:v>Leguminose (gruppo)</x:v>
      </x:c>
      <x:c r="D161" s="65" t="str">
        <x:v>Legumes</x:v>
      </x:c>
      <x:c r="E161" s="65" t="str">
        <x:v>fennel</x:v>
      </x:c>
      <x:c r="F161" s="65" t="str">
        <x:v>Finocchio</x:v>
      </x:c>
      <x:c r="G161" s="65" t="str">
        <x:v>Fennel</x:v>
      </x:c>
      <x:c r="H161" s="65" t="str">
        <x:v>B</x:v>
      </x:c>
      <x:c r="I161" s="65" t="str">
        <x:v>Favorevole</x:v>
      </x:c>
      <x:c r="J161" s="65" t="str">
        <x:v>Simmetrica nella matrice</x:v>
      </x:c>
      <x:c r="K161" s="65" t="str">
        <x:v>Orto Mio; possibile presenza anche nel dataset GitHub/Wikipedia</x:v>
      </x:c>
      <x:c r="L161" s="65" t="str">
        <x:v>Non classificata scientificamente nel file</x:v>
      </x:c>
      <x:c r="M161" s="65" t="str">
        <x:v>Preferenza agronomica; non vincolo rigido</x:v>
      </x:c>
      <x:c r="N161" s="65" t="str">
        <x:v>La matrice non conserva la direzione originaria Helps/Helped by del dataset GitHub.</x:v>
      </x:c>
    </x:row>
    <x:row r="162" ht="15" hidden="0" customHeight="1">
      <x:c r="A162" s="65" t="str">
        <x:v>lettuce__okra</x:v>
      </x:c>
      <x:c r="B162" s="65" t="str">
        <x:v>lettuce</x:v>
      </x:c>
      <x:c r="C162" s="65" t="str">
        <x:v>Lattuga</x:v>
      </x:c>
      <x:c r="D162" s="65" t="str">
        <x:v>Lettuce</x:v>
      </x:c>
      <x:c r="E162" s="65" t="str">
        <x:v>okra</x:v>
      </x:c>
      <x:c r="F162" s="65" t="str">
        <x:v>Okra</x:v>
      </x:c>
      <x:c r="G162" s="65" t="str">
        <x:v>Okra</x:v>
      </x:c>
      <x:c r="H162" s="65" t="str">
        <x:v>B</x:v>
      </x:c>
      <x:c r="I162" s="65" t="str">
        <x:v>Favorevole</x:v>
      </x:c>
      <x:c r="J162" s="65" t="str">
        <x:v>Simmetrica nella matrice</x:v>
      </x:c>
      <x:c r="K162" s="65" t="str">
        <x:v>Orto Mio; possibile presenza anche nel dataset GitHub/Wikipedia</x:v>
      </x:c>
      <x:c r="L162" s="65" t="str">
        <x:v>Non classificata scientificamente nel file</x:v>
      </x:c>
      <x:c r="M162" s="65" t="str">
        <x:v>Preferenza agronomica; non vincolo rigido</x:v>
      </x:c>
      <x:c r="N162" s="65" t="str">
        <x:v>La matrice non conserva la direzione originaria Helps/Helped by del dataset GitHub.</x:v>
      </x:c>
    </x:row>
    <x:row r="163" ht="15" hidden="0" customHeight="1">
      <x:c r="A163" s="65" t="str">
        <x:v>lettuce__onion</x:v>
      </x:c>
      <x:c r="B163" s="65" t="str">
        <x:v>lettuce</x:v>
      </x:c>
      <x:c r="C163" s="65" t="str">
        <x:v>Lattuga</x:v>
      </x:c>
      <x:c r="D163" s="65" t="str">
        <x:v>Lettuce</x:v>
      </x:c>
      <x:c r="E163" s="65" t="str">
        <x:v>onion</x:v>
      </x:c>
      <x:c r="F163" s="65" t="str">
        <x:v>Cipolla</x:v>
      </x:c>
      <x:c r="G163" s="65" t="str">
        <x:v>Onion</x:v>
      </x:c>
      <x:c r="H163" s="65" t="str">
        <x:v>B</x:v>
      </x:c>
      <x:c r="I163" s="65" t="str">
        <x:v>Favorevole</x:v>
      </x:c>
      <x:c r="J163" s="65" t="str">
        <x:v>Simmetrica nella matrice</x:v>
      </x:c>
      <x:c r="K163" s="65" t="str">
        <x:v>Orto Mio; possibile presenza anche nel dataset GitHub/Wikipedia</x:v>
      </x:c>
      <x:c r="L163" s="65" t="str">
        <x:v>Non classificata scientificamente nel file</x:v>
      </x:c>
      <x:c r="M163" s="65" t="str">
        <x:v>Preferenza agronomica; non vincolo rigido</x:v>
      </x:c>
      <x:c r="N163" s="65" t="str">
        <x:v>La matrice non conserva la direzione originaria Helps/Helped by del dataset GitHub.</x:v>
      </x:c>
    </x:row>
    <x:row r="164" ht="15" hidden="0" customHeight="1">
      <x:c r="A164" s="65" t="str">
        <x:v>lettuce__peppers</x:v>
      </x:c>
      <x:c r="B164" s="65" t="str">
        <x:v>lettuce</x:v>
      </x:c>
      <x:c r="C164" s="65" t="str">
        <x:v>Lattuga</x:v>
      </x:c>
      <x:c r="D164" s="65" t="str">
        <x:v>Lettuce</x:v>
      </x:c>
      <x:c r="E164" s="65" t="str">
        <x:v>peppers</x:v>
      </x:c>
      <x:c r="F164" s="65" t="str">
        <x:v>Peperone</x:v>
      </x:c>
      <x:c r="G164" s="65" t="str">
        <x:v>Peppers</x:v>
      </x:c>
      <x:c r="H164" s="65" t="str">
        <x:v>B</x:v>
      </x:c>
      <x:c r="I164" s="65" t="str">
        <x:v>Favorevole</x:v>
      </x:c>
      <x:c r="J164" s="65" t="str">
        <x:v>Simmetrica nella matrice</x:v>
      </x:c>
      <x:c r="K164" s="65" t="str">
        <x:v>Orto Mio; possibile presenza anche nel dataset GitHub/Wikipedia</x:v>
      </x:c>
      <x:c r="L164" s="65" t="str">
        <x:v>Non classificata scientificamente nel file</x:v>
      </x:c>
      <x:c r="M164" s="65" t="str">
        <x:v>Preferenza agronomica; non vincolo rigido</x:v>
      </x:c>
      <x:c r="N164" s="65" t="str">
        <x:v>La matrice non conserva la direzione originaria Helps/Helped by del dataset GitHub.</x:v>
      </x:c>
    </x:row>
    <x:row r="165" ht="15" hidden="0" customHeight="1">
      <x:c r="A165" s="65" t="str">
        <x:v>lettuce__radish</x:v>
      </x:c>
      <x:c r="B165" s="65" t="str">
        <x:v>lettuce</x:v>
      </x:c>
      <x:c r="C165" s="65" t="str">
        <x:v>Lattuga</x:v>
      </x:c>
      <x:c r="D165" s="65" t="str">
        <x:v>Lettuce</x:v>
      </x:c>
      <x:c r="E165" s="65" t="str">
        <x:v>radish</x:v>
      </x:c>
      <x:c r="F165" s="65" t="str">
        <x:v>Ravanello</x:v>
      </x:c>
      <x:c r="G165" s="65" t="str">
        <x:v>Radish</x:v>
      </x:c>
      <x:c r="H165" s="65" t="str">
        <x:v>B</x:v>
      </x:c>
      <x:c r="I165" s="65" t="str">
        <x:v>Favorevole</x:v>
      </x:c>
      <x:c r="J165" s="65" t="str">
        <x:v>Simmetrica nella matrice</x:v>
      </x:c>
      <x:c r="K165" s="65" t="str">
        <x:v>Orto Mio; possibile presenza anche nel dataset GitHub/Wikipedia</x:v>
      </x:c>
      <x:c r="L165" s="65" t="str">
        <x:v>Non classificata scientificamente nel file</x:v>
      </x:c>
      <x:c r="M165" s="65" t="str">
        <x:v>Preferenza agronomica; non vincolo rigido</x:v>
      </x:c>
      <x:c r="N165" s="65" t="str">
        <x:v>La matrice non conserva la direzione originaria Helps/Helped by del dataset GitHub.</x:v>
      </x:c>
    </x:row>
    <x:row r="166" ht="15" hidden="0" customHeight="1">
      <x:c r="A166" s="65" t="str">
        <x:v>lettuce__spinach</x:v>
      </x:c>
      <x:c r="B166" s="65" t="str">
        <x:v>lettuce</x:v>
      </x:c>
      <x:c r="C166" s="65" t="str">
        <x:v>Lattuga</x:v>
      </x:c>
      <x:c r="D166" s="65" t="str">
        <x:v>Lettuce</x:v>
      </x:c>
      <x:c r="E166" s="65" t="str">
        <x:v>spinach</x:v>
      </x:c>
      <x:c r="F166" s="65" t="str">
        <x:v>Spinacio</x:v>
      </x:c>
      <x:c r="G166" s="65" t="str">
        <x:v>Spinach</x:v>
      </x:c>
      <x:c r="H166" s="65" t="str">
        <x:v>B</x:v>
      </x:c>
      <x:c r="I166" s="65" t="str">
        <x:v>Favorevole</x:v>
      </x:c>
      <x:c r="J166" s="65" t="str">
        <x:v>Simmetrica nella matrice</x:v>
      </x:c>
      <x:c r="K166" s="65" t="str">
        <x:v>Orto Mio; possibile presenza anche nel dataset GitHub/Wikipedia</x:v>
      </x:c>
      <x:c r="L166" s="65" t="str">
        <x:v>Non classificata scientificamente nel file</x:v>
      </x:c>
      <x:c r="M166" s="65" t="str">
        <x:v>Preferenza agronomica; non vincolo rigido</x:v>
      </x:c>
      <x:c r="N166" s="65" t="str">
        <x:v>La matrice non conserva la direzione originaria Helps/Helped by del dataset GitHub.</x:v>
      </x:c>
    </x:row>
    <x:row r="167" ht="15" hidden="0" customHeight="1">
      <x:c r="A167" s="65" t="str">
        <x:v>lettuce__squash</x:v>
      </x:c>
      <x:c r="B167" s="65" t="str">
        <x:v>lettuce</x:v>
      </x:c>
      <x:c r="C167" s="65" t="str">
        <x:v>Lattuga</x:v>
      </x:c>
      <x:c r="D167" s="65" t="str">
        <x:v>Lettuce</x:v>
      </x:c>
      <x:c r="E167" s="65" t="str">
        <x:v>squash</x:v>
      </x:c>
      <x:c r="F167" s="65" t="str">
        <x:v>Zucchino / zucca estiva</x:v>
      </x:c>
      <x:c r="G167" s="65" t="str">
        <x:v>Squash</x:v>
      </x:c>
      <x:c r="H167" s="65" t="str">
        <x:v>B</x:v>
      </x:c>
      <x:c r="I167" s="65" t="str">
        <x:v>Favorevole</x:v>
      </x:c>
      <x:c r="J167" s="65" t="str">
        <x:v>Simmetrica nella matrice</x:v>
      </x:c>
      <x:c r="K167" s="65" t="str">
        <x:v>Orto Mio; possibile presenza anche nel dataset GitHub/Wikipedia</x:v>
      </x:c>
      <x:c r="L167" s="65" t="str">
        <x:v>Non classificata scientificamente nel file</x:v>
      </x:c>
      <x:c r="M167" s="65" t="str">
        <x:v>Preferenza agronomica; non vincolo rigido</x:v>
      </x:c>
      <x:c r="N167" s="65" t="str">
        <x:v>La matrice non conserva la direzione originaria Helps/Helped by del dataset GitHub.</x:v>
      </x:c>
    </x:row>
    <x:row r="168" ht="15" hidden="0" customHeight="1">
      <x:c r="A168" s="65" t="str">
        <x:v>lettuce__tomatoes</x:v>
      </x:c>
      <x:c r="B168" s="65" t="str">
        <x:v>lettuce</x:v>
      </x:c>
      <x:c r="C168" s="65" t="str">
        <x:v>Lattuga</x:v>
      </x:c>
      <x:c r="D168" s="65" t="str">
        <x:v>Lettuce</x:v>
      </x:c>
      <x:c r="E168" s="65" t="str">
        <x:v>tomatoes</x:v>
      </x:c>
      <x:c r="F168" s="65" t="str">
        <x:v>Pomodoro</x:v>
      </x:c>
      <x:c r="G168" s="65" t="str">
        <x:v>Tomatoes</x:v>
      </x:c>
      <x:c r="H168" s="65" t="str">
        <x:v>B</x:v>
      </x:c>
      <x:c r="I168" s="65" t="str">
        <x:v>Favorevole</x:v>
      </x:c>
      <x:c r="J168" s="65" t="str">
        <x:v>Simmetrica nella matrice</x:v>
      </x:c>
      <x:c r="K168" s="65" t="str">
        <x:v>Orto Mio; possibile presenza anche nel dataset GitHub/Wikipedia</x:v>
      </x:c>
      <x:c r="L168" s="65" t="str">
        <x:v>Non classificata scientificamente nel file</x:v>
      </x:c>
      <x:c r="M168" s="65" t="str">
        <x:v>Preferenza agronomica; non vincolo rigido</x:v>
      </x:c>
      <x:c r="N168" s="65" t="str">
        <x:v>La matrice non conserva la direzione originaria Helps/Helped by del dataset GitHub.</x:v>
      </x:c>
    </x:row>
    <x:row r="169" ht="15" hidden="0" customHeight="1">
      <x:c r="A169" s="65" t="str">
        <x:v>lettuce__artichoke</x:v>
      </x:c>
      <x:c r="B169" s="65" t="str">
        <x:v>lettuce</x:v>
      </x:c>
      <x:c r="C169" s="65" t="str">
        <x:v>Lattuga</x:v>
      </x:c>
      <x:c r="D169" s="65" t="str">
        <x:v>Lettuce</x:v>
      </x:c>
      <x:c r="E169" s="65" t="str">
        <x:v>artichoke</x:v>
      </x:c>
      <x:c r="F169" s="65" t="str">
        <x:v>Carciofo</x:v>
      </x:c>
      <x:c r="G169" s="65" t="str">
        <x:v>Artichoke</x:v>
      </x:c>
      <x:c r="H169" s="65" t="str">
        <x:v>B</x:v>
      </x:c>
      <x:c r="I169" s="65" t="str">
        <x:v>Favorevole</x:v>
      </x:c>
      <x:c r="J169" s="65" t="str">
        <x:v>Simmetrica nella matrice</x:v>
      </x:c>
      <x:c r="K169" s="65" t="str">
        <x:v>Orto Mio; possibile presenza anche nel dataset GitHub/Wikipedia</x:v>
      </x:c>
      <x:c r="L169" s="65" t="str">
        <x:v>Non classificata scientificamente nel file</x:v>
      </x:c>
      <x:c r="M169" s="65" t="str">
        <x:v>Preferenza agronomica; non vincolo rigido</x:v>
      </x:c>
      <x:c r="N169" s="65" t="str">
        <x:v>La matrice non conserva la direzione originaria Helps/Helped by del dataset GitHub.</x:v>
      </x:c>
    </x:row>
    <x:row r="170" ht="15" hidden="0" customHeight="1">
      <x:c r="A170" s="65" t="str">
        <x:v>lettuce__cardoon</x:v>
      </x:c>
      <x:c r="B170" s="65" t="str">
        <x:v>lettuce</x:v>
      </x:c>
      <x:c r="C170" s="65" t="str">
        <x:v>Lattuga</x:v>
      </x:c>
      <x:c r="D170" s="65" t="str">
        <x:v>Lettuce</x:v>
      </x:c>
      <x:c r="E170" s="65" t="str">
        <x:v>cardoon</x:v>
      </x:c>
      <x:c r="F170" s="65" t="str">
        <x:v>Cardo</x:v>
      </x:c>
      <x:c r="G170" s="65" t="str">
        <x:v>Cardoon</x:v>
      </x:c>
      <x:c r="H170" s="65" t="str">
        <x:v>B</x:v>
      </x:c>
      <x:c r="I170" s="65" t="str">
        <x:v>Favorevole</x:v>
      </x:c>
      <x:c r="J170" s="65" t="str">
        <x:v>Simmetrica nella matrice</x:v>
      </x:c>
      <x:c r="K170" s="65" t="str">
        <x:v>Orto Mio; possibile presenza anche nel dataset GitHub/Wikipedia</x:v>
      </x:c>
      <x:c r="L170" s="65" t="str">
        <x:v>Non classificata scientificamente nel file</x:v>
      </x:c>
      <x:c r="M170" s="65" t="str">
        <x:v>Preferenza agronomica; non vincolo rigido</x:v>
      </x:c>
      <x:c r="N170" s="65" t="str">
        <x:v>La matrice non conserva la direzione originaria Helps/Helped by del dataset GitHub.</x:v>
      </x:c>
    </x:row>
    <x:row r="171" ht="15" hidden="0" customHeight="1">
      <x:c r="A171" s="65" t="str">
        <x:v>lettuce__chicory</x:v>
      </x:c>
      <x:c r="B171" s="65" t="str">
        <x:v>lettuce</x:v>
      </x:c>
      <x:c r="C171" s="65" t="str">
        <x:v>Lattuga</x:v>
      </x:c>
      <x:c r="D171" s="65" t="str">
        <x:v>Lettuce</x:v>
      </x:c>
      <x:c r="E171" s="65" t="str">
        <x:v>chicory</x:v>
      </x:c>
      <x:c r="F171" s="65" t="str">
        <x:v>Cicoria</x:v>
      </x:c>
      <x:c r="G171" s="65" t="str">
        <x:v>Chicory</x:v>
      </x:c>
      <x:c r="H171" s="65" t="str">
        <x:v>B</x:v>
      </x:c>
      <x:c r="I171" s="65" t="str">
        <x:v>Favorevole</x:v>
      </x:c>
      <x:c r="J171" s="65" t="str">
        <x:v>Simmetrica nella matrice</x:v>
      </x:c>
      <x:c r="K171" s="65" t="str">
        <x:v>Orto Mio; possibile presenza anche nel dataset GitHub/Wikipedia</x:v>
      </x:c>
      <x:c r="L171" s="65" t="str">
        <x:v>Non classificata scientificamente nel file</x:v>
      </x:c>
      <x:c r="M171" s="65" t="str">
        <x:v>Preferenza agronomica; non vincolo rigido</x:v>
      </x:c>
      <x:c r="N171" s="65" t="str">
        <x:v>La matrice non conserva la direzione originaria Helps/Helped by del dataset GitHub.</x:v>
      </x:c>
    </x:row>
    <x:row r="172" ht="15" hidden="0" customHeight="1">
      <x:c r="A172" s="65" t="str">
        <x:v>lettuce__fennel</x:v>
      </x:c>
      <x:c r="B172" s="65" t="str">
        <x:v>lettuce</x:v>
      </x:c>
      <x:c r="C172" s="65" t="str">
        <x:v>Lattuga</x:v>
      </x:c>
      <x:c r="D172" s="65" t="str">
        <x:v>Lettuce</x:v>
      </x:c>
      <x:c r="E172" s="65" t="str">
        <x:v>fennel</x:v>
      </x:c>
      <x:c r="F172" s="65" t="str">
        <x:v>Finocchio</x:v>
      </x:c>
      <x:c r="G172" s="65" t="str">
        <x:v>Fennel</x:v>
      </x:c>
      <x:c r="H172" s="65" t="str">
        <x:v>B</x:v>
      </x:c>
      <x:c r="I172" s="65" t="str">
        <x:v>Favorevole</x:v>
      </x:c>
      <x:c r="J172" s="65" t="str">
        <x:v>Simmetrica nella matrice</x:v>
      </x:c>
      <x:c r="K172" s="65" t="str">
        <x:v>Orto Mio; possibile presenza anche nel dataset GitHub/Wikipedia</x:v>
      </x:c>
      <x:c r="L172" s="65" t="str">
        <x:v>Non classificata scientificamente nel file</x:v>
      </x:c>
      <x:c r="M172" s="65" t="str">
        <x:v>Preferenza agronomica; non vincolo rigido</x:v>
      </x:c>
      <x:c r="N172" s="65" t="str">
        <x:v>La matrice non conserva la direzione originaria Helps/Helped by del dataset GitHub.</x:v>
      </x:c>
    </x:row>
    <x:row r="173" ht="15" hidden="0" customHeight="1">
      <x:c r="A173" s="65" t="str">
        <x:v>lettuce__strawberry</x:v>
      </x:c>
      <x:c r="B173" s="65" t="str">
        <x:v>lettuce</x:v>
      </x:c>
      <x:c r="C173" s="65" t="str">
        <x:v>Lattuga</x:v>
      </x:c>
      <x:c r="D173" s="65" t="str">
        <x:v>Lettuce</x:v>
      </x:c>
      <x:c r="E173" s="65" t="str">
        <x:v>strawberry</x:v>
      </x:c>
      <x:c r="F173" s="65" t="str">
        <x:v>Fragola</x:v>
      </x:c>
      <x:c r="G173" s="65" t="str">
        <x:v>Strawberry</x:v>
      </x:c>
      <x:c r="H173" s="65" t="str">
        <x:v>B</x:v>
      </x:c>
      <x:c r="I173" s="65" t="str">
        <x:v>Favorevole</x:v>
      </x:c>
      <x:c r="J173" s="65" t="str">
        <x:v>Simmetrica nella matrice</x:v>
      </x:c>
      <x:c r="K173" s="65" t="str">
        <x:v>Orto Mio; possibile presenza anche nel dataset GitHub/Wikipedia</x:v>
      </x:c>
      <x:c r="L173" s="65" t="str">
        <x:v>Non classificata scientificamente nel file</x:v>
      </x:c>
      <x:c r="M173" s="65" t="str">
        <x:v>Preferenza agronomica; non vincolo rigido</x:v>
      </x:c>
      <x:c r="N173" s="65" t="str">
        <x:v>La matrice non conserva la direzione originaria Helps/Helped by del dataset GitHub.</x:v>
      </x:c>
    </x:row>
    <x:row r="174" ht="15" hidden="0" customHeight="1">
      <x:c r="A174" s="65" t="str">
        <x:v>lettuce__melon</x:v>
      </x:c>
      <x:c r="B174" s="65" t="str">
        <x:v>lettuce</x:v>
      </x:c>
      <x:c r="C174" s="65" t="str">
        <x:v>Lattuga</x:v>
      </x:c>
      <x:c r="D174" s="65" t="str">
        <x:v>Lettuce</x:v>
      </x:c>
      <x:c r="E174" s="65" t="str">
        <x:v>melon</x:v>
      </x:c>
      <x:c r="F174" s="65" t="str">
        <x:v>Melone</x:v>
      </x:c>
      <x:c r="G174" s="65" t="str">
        <x:v>Melon</x:v>
      </x:c>
      <x:c r="H174" s="65" t="str">
        <x:v>B</x:v>
      </x:c>
      <x:c r="I174" s="65" t="str">
        <x:v>Favorevole</x:v>
      </x:c>
      <x:c r="J174" s="65" t="str">
        <x:v>Simmetrica nella matrice</x:v>
      </x:c>
      <x:c r="K174" s="65" t="str">
        <x:v>Orto Mio; possibile presenza anche nel dataset GitHub/Wikipedia</x:v>
      </x:c>
      <x:c r="L174" s="65" t="str">
        <x:v>Non classificata scientificamente nel file</x:v>
      </x:c>
      <x:c r="M174" s="65" t="str">
        <x:v>Preferenza agronomica; non vincolo rigido</x:v>
      </x:c>
      <x:c r="N174" s="65" t="str">
        <x:v>La matrice non conserva la direzione originaria Helps/Helped by del dataset GitHub.</x:v>
      </x:c>
    </x:row>
    <x:row r="175" ht="15" hidden="0" customHeight="1">
      <x:c r="A175" s="65" t="str">
        <x:v>lettuce__arugula</x:v>
      </x:c>
      <x:c r="B175" s="65" t="str">
        <x:v>lettuce</x:v>
      </x:c>
      <x:c r="C175" s="65" t="str">
        <x:v>Lattuga</x:v>
      </x:c>
      <x:c r="D175" s="65" t="str">
        <x:v>Lettuce</x:v>
      </x:c>
      <x:c r="E175" s="65" t="str">
        <x:v>arugula</x:v>
      </x:c>
      <x:c r="F175" s="65" t="str">
        <x:v>Rucola</x:v>
      </x:c>
      <x:c r="G175" s="65" t="str">
        <x:v>Arugula</x:v>
      </x:c>
      <x:c r="H175" s="65" t="str">
        <x:v>B</x:v>
      </x:c>
      <x:c r="I175" s="65" t="str">
        <x:v>Favorevole</x:v>
      </x:c>
      <x:c r="J175" s="65" t="str">
        <x:v>Simmetrica nella matrice</x:v>
      </x:c>
      <x:c r="K175" s="65" t="str">
        <x:v>Orto Mio; possibile presenza anche nel dataset GitHub/Wikipedia</x:v>
      </x:c>
      <x:c r="L175" s="65" t="str">
        <x:v>Non classificata scientificamente nel file</x:v>
      </x:c>
      <x:c r="M175" s="65" t="str">
        <x:v>Preferenza agronomica; non vincolo rigido</x:v>
      </x:c>
      <x:c r="N175" s="65" t="str">
        <x:v>La matrice non conserva la direzione originaria Helps/Helped by del dataset GitHub.</x:v>
      </x:c>
    </x:row>
    <x:row r="176" ht="15" hidden="0" customHeight="1">
      <x:c r="A176" s="65" t="str">
        <x:v>lettuce__corn_salad</x:v>
      </x:c>
      <x:c r="B176" s="65" t="str">
        <x:v>lettuce</x:v>
      </x:c>
      <x:c r="C176" s="65" t="str">
        <x:v>Lattuga</x:v>
      </x:c>
      <x:c r="D176" s="65" t="str">
        <x:v>Lettuce</x:v>
      </x:c>
      <x:c r="E176" s="65" t="str">
        <x:v>corn_salad</x:v>
      </x:c>
      <x:c r="F176" s="65" t="str">
        <x:v>Valeriana</x:v>
      </x:c>
      <x:c r="G176" s="65" t="str">
        <x:v>Corn salad</x:v>
      </x:c>
      <x:c r="H176" s="65" t="str">
        <x:v>B</x:v>
      </x:c>
      <x:c r="I176" s="65" t="str">
        <x:v>Favorevole</x:v>
      </x:c>
      <x:c r="J176" s="65" t="str">
        <x:v>Simmetrica nella matrice</x:v>
      </x:c>
      <x:c r="K176" s="65" t="str">
        <x:v>Orto Mio; possibile presenza anche nel dataset GitHub/Wikipedia</x:v>
      </x:c>
      <x:c r="L176" s="65" t="str">
        <x:v>Non classificata scientificamente nel file</x:v>
      </x:c>
      <x:c r="M176" s="65" t="str">
        <x:v>Preferenza agronomica; non vincolo rigido</x:v>
      </x:c>
      <x:c r="N176" s="65" t="str">
        <x:v>La matrice non conserva la direzione originaria Helps/Helped by del dataset GitHub.</x:v>
      </x:c>
    </x:row>
    <x:row r="177" ht="15" hidden="0" customHeight="1">
      <x:c r="A177" s="65" t="str">
        <x:v>lettuce__watermelon</x:v>
      </x:c>
      <x:c r="B177" s="65" t="str">
        <x:v>lettuce</x:v>
      </x:c>
      <x:c r="C177" s="65" t="str">
        <x:v>Lattuga</x:v>
      </x:c>
      <x:c r="D177" s="65" t="str">
        <x:v>Lettuce</x:v>
      </x:c>
      <x:c r="E177" s="65" t="str">
        <x:v>watermelon</x:v>
      </x:c>
      <x:c r="F177" s="65" t="str">
        <x:v>Anguria</x:v>
      </x:c>
      <x:c r="G177" s="65" t="str">
        <x:v>Watermelon</x:v>
      </x:c>
      <x:c r="H177" s="65" t="str">
        <x:v>B</x:v>
      </x:c>
      <x:c r="I177" s="65" t="str">
        <x:v>Favorevole</x:v>
      </x:c>
      <x:c r="J177" s="65" t="str">
        <x:v>Simmetrica nella matrice</x:v>
      </x:c>
      <x:c r="K177" s="65" t="str">
        <x:v>Orto Mio; possibile presenza anche nel dataset GitHub/Wikipedia</x:v>
      </x:c>
      <x:c r="L177" s="65" t="str">
        <x:v>Non classificata scientificamente nel file</x:v>
      </x:c>
      <x:c r="M177" s="65" t="str">
        <x:v>Preferenza agronomica; non vincolo rigido</x:v>
      </x:c>
      <x:c r="N177" s="65" t="str">
        <x:v>La matrice non conserva la direzione originaria Helps/Helped by del dataset GitHub.</x:v>
      </x:c>
    </x:row>
    <x:row r="178" ht="15" hidden="0" customHeight="1">
      <x:c r="A178" s="65" t="str">
        <x:v>mustard__peppers</x:v>
      </x:c>
      <x:c r="B178" s="65" t="str">
        <x:v>mustard</x:v>
      </x:c>
      <x:c r="C178" s="65" t="str">
        <x:v>Senape</x:v>
      </x:c>
      <x:c r="D178" s="65" t="str">
        <x:v>Mustard</x:v>
      </x:c>
      <x:c r="E178" s="65" t="str">
        <x:v>peppers</x:v>
      </x:c>
      <x:c r="F178" s="65" t="str">
        <x:v>Peperone</x:v>
      </x:c>
      <x:c r="G178" s="65" t="str">
        <x:v>Peppers</x:v>
      </x:c>
      <x:c r="H178" s="65" t="str">
        <x:v>B</x:v>
      </x:c>
      <x:c r="I178" s="65" t="str">
        <x:v>Favorevole</x:v>
      </x:c>
      <x:c r="J178" s="65" t="str">
        <x:v>Simmetrica nella matrice</x:v>
      </x:c>
      <x:c r="K178" s="65" t="str">
        <x:v>Matrice integrata GitHub/Wikipedia e/o Orto Mio</x:v>
      </x:c>
      <x:c r="L178" s="65" t="str">
        <x:v>Non classificata scientificamente nel file</x:v>
      </x:c>
      <x:c r="M178" s="65" t="str">
        <x:v>Preferenza agronomica; non vincolo rigido</x:v>
      </x:c>
      <x:c r="N178" s="65" t="str">
        <x:v>La matrice non conserva la direzione originaria Helps/Helped by del dataset GitHub.</x:v>
      </x:c>
    </x:row>
    <x:row r="179" ht="15" hidden="0" customHeight="1">
      <x:c r="A179" s="65" t="str">
        <x:v>mustard__radish</x:v>
      </x:c>
      <x:c r="B179" s="65" t="str">
        <x:v>mustard</x:v>
      </x:c>
      <x:c r="C179" s="65" t="str">
        <x:v>Senape</x:v>
      </x:c>
      <x:c r="D179" s="65" t="str">
        <x:v>Mustard</x:v>
      </x:c>
      <x:c r="E179" s="65" t="str">
        <x:v>radish</x:v>
      </x:c>
      <x:c r="F179" s="65" t="str">
        <x:v>Ravanello</x:v>
      </x:c>
      <x:c r="G179" s="65" t="str">
        <x:v>Radish</x:v>
      </x:c>
      <x:c r="H179" s="65" t="str">
        <x:v>B</x:v>
      </x:c>
      <x:c r="I179" s="65" t="str">
        <x:v>Favorevole</x:v>
      </x:c>
      <x:c r="J179" s="65" t="str">
        <x:v>Simmetrica nella matrice</x:v>
      </x:c>
      <x:c r="K179" s="65" t="str">
        <x:v>Matrice integrata GitHub/Wikipedia e/o Orto Mio</x:v>
      </x:c>
      <x:c r="L179" s="65" t="str">
        <x:v>Non classificata scientificamente nel file</x:v>
      </x:c>
      <x:c r="M179" s="65" t="str">
        <x:v>Preferenza agronomica; non vincolo rigido</x:v>
      </x:c>
      <x:c r="N179" s="65" t="str">
        <x:v>La matrice non conserva la direzione originaria Helps/Helped by del dataset GitHub.</x:v>
      </x:c>
    </x:row>
    <x:row r="180" ht="15" hidden="0" customHeight="1">
      <x:c r="A180" s="65" t="str">
        <x:v>mustard__tomatoes</x:v>
      </x:c>
      <x:c r="B180" s="65" t="str">
        <x:v>mustard</x:v>
      </x:c>
      <x:c r="C180" s="65" t="str">
        <x:v>Senape</x:v>
      </x:c>
      <x:c r="D180" s="65" t="str">
        <x:v>Mustard</x:v>
      </x:c>
      <x:c r="E180" s="65" t="str">
        <x:v>tomatoes</x:v>
      </x:c>
      <x:c r="F180" s="65" t="str">
        <x:v>Pomodoro</x:v>
      </x:c>
      <x:c r="G180" s="65" t="str">
        <x:v>Tomatoes</x:v>
      </x:c>
      <x:c r="H180" s="65" t="str">
        <x:v>B</x:v>
      </x:c>
      <x:c r="I180" s="65" t="str">
        <x:v>Favorevole</x:v>
      </x:c>
      <x:c r="J180" s="65" t="str">
        <x:v>Simmetrica nella matrice</x:v>
      </x:c>
      <x:c r="K180" s="65" t="str">
        <x:v>Matrice integrata GitHub/Wikipedia e/o Orto Mio</x:v>
      </x:c>
      <x:c r="L180" s="65" t="str">
        <x:v>Non classificata scientificamente nel file</x:v>
      </x:c>
      <x:c r="M180" s="65" t="str">
        <x:v>Preferenza agronomica; non vincolo rigido</x:v>
      </x:c>
      <x:c r="N180" s="65" t="str">
        <x:v>La matrice non conserva la direzione originaria Helps/Helped by del dataset GitHub.</x:v>
      </x:c>
    </x:row>
    <x:row r="181" ht="15" hidden="0" customHeight="1">
      <x:c r="A181" s="65" t="str">
        <x:v>mustard__turnips_and_rutabagas</x:v>
      </x:c>
      <x:c r="B181" s="65" t="str">
        <x:v>mustard</x:v>
      </x:c>
      <x:c r="C181" s="65" t="str">
        <x:v>Senape</x:v>
      </x:c>
      <x:c r="D181" s="65" t="str">
        <x:v>Mustard</x:v>
      </x:c>
      <x:c r="E181" s="65" t="str">
        <x:v>turnips_and_rutabagas</x:v>
      </x:c>
      <x:c r="F181" s="65" t="str">
        <x:v>Rapa e rutabaga</x:v>
      </x:c>
      <x:c r="G181" s="65" t="str">
        <x:v>Turnips and rutabagas</x:v>
      </x:c>
      <x:c r="H181" s="65" t="str">
        <x:v>M</x:v>
      </x:c>
      <x:c r="I181" s="65" t="str">
        <x:v>Mista / fonti discordanti</x:v>
      </x:c>
      <x:c r="J181" s="65" t="str">
        <x:v>Simmetrica nella matrice</x:v>
      </x:c>
      <x:c r="K181" s="65" t="str">
        <x:v>GitHub/Wikipedia + Orto Mio (fonti discordanti)</x:v>
      </x:c>
      <x:c r="L181" s="65" t="str">
        <x:v>Non classificata scientificamente nel file</x:v>
      </x:c>
      <x:c r="M181" s="65" t="str">
        <x:v>Solo informativa; non usare per la disposizione automatica</x:v>
      </x:c>
      <x:c r="N181" s="65" t="str">
        <x:v>La matrice non conserva la direzione originaria Helps/Helped by del dataset GitHub.</x:v>
      </x:c>
    </x:row>
    <x:row r="182" ht="15" hidden="0" customHeight="1">
      <x:c r="A182" s="65" t="str">
        <x:v>okra__peppers</x:v>
      </x:c>
      <x:c r="B182" s="65" t="str">
        <x:v>okra</x:v>
      </x:c>
      <x:c r="C182" s="65" t="str">
        <x:v>Okra</x:v>
      </x:c>
      <x:c r="D182" s="65" t="str">
        <x:v>Okra</x:v>
      </x:c>
      <x:c r="E182" s="65" t="str">
        <x:v>peppers</x:v>
      </x:c>
      <x:c r="F182" s="65" t="str">
        <x:v>Peperone</x:v>
      </x:c>
      <x:c r="G182" s="65" t="str">
        <x:v>Peppers</x:v>
      </x:c>
      <x:c r="H182" s="65" t="str">
        <x:v>B</x:v>
      </x:c>
      <x:c r="I182" s="65" t="str">
        <x:v>Favorevole</x:v>
      </x:c>
      <x:c r="J182" s="65" t="str">
        <x:v>Simmetrica nella matrice</x:v>
      </x:c>
      <x:c r="K182" s="65" t="str">
        <x:v>Orto Mio; possibile presenza anche nel dataset GitHub/Wikipedia</x:v>
      </x:c>
      <x:c r="L182" s="65" t="str">
        <x:v>Non classificata scientificamente nel file</x:v>
      </x:c>
      <x:c r="M182" s="65" t="str">
        <x:v>Preferenza agronomica; non vincolo rigido</x:v>
      </x:c>
      <x:c r="N182" s="65" t="str">
        <x:v>La matrice non conserva la direzione originaria Helps/Helped by del dataset GitHub.</x:v>
      </x:c>
    </x:row>
    <x:row r="183" ht="15" hidden="0" customHeight="1">
      <x:c r="A183" s="65" t="str">
        <x:v>okra__potato</x:v>
      </x:c>
      <x:c r="B183" s="65" t="str">
        <x:v>okra</x:v>
      </x:c>
      <x:c r="C183" s="65" t="str">
        <x:v>Okra</x:v>
      </x:c>
      <x:c r="D183" s="65" t="str">
        <x:v>Okra</x:v>
      </x:c>
      <x:c r="E183" s="65" t="str">
        <x:v>potato</x:v>
      </x:c>
      <x:c r="F183" s="65" t="str">
        <x:v>Patata</x:v>
      </x:c>
      <x:c r="G183" s="65" t="str">
        <x:v>Potato</x:v>
      </x:c>
      <x:c r="H183" s="65" t="str">
        <x:v>B</x:v>
      </x:c>
      <x:c r="I183" s="65" t="str">
        <x:v>Favorevole</x:v>
      </x:c>
      <x:c r="J183" s="65" t="str">
        <x:v>Simmetrica nella matrice</x:v>
      </x:c>
      <x:c r="K183" s="65" t="str">
        <x:v>Matrice integrata GitHub/Wikipedia e/o Orto Mio</x:v>
      </x:c>
      <x:c r="L183" s="65" t="str">
        <x:v>Non classificata scientificamente nel file</x:v>
      </x:c>
      <x:c r="M183" s="65" t="str">
        <x:v>Preferenza agronomica; non vincolo rigido</x:v>
      </x:c>
      <x:c r="N183" s="65" t="str">
        <x:v>La matrice non conserva la direzione originaria Helps/Helped by del dataset GitHub.</x:v>
      </x:c>
    </x:row>
    <x:row r="184" ht="15" hidden="0" customHeight="1">
      <x:c r="A184" s="65" t="str">
        <x:v>okra__squash</x:v>
      </x:c>
      <x:c r="B184" s="65" t="str">
        <x:v>okra</x:v>
      </x:c>
      <x:c r="C184" s="65" t="str">
        <x:v>Okra</x:v>
      </x:c>
      <x:c r="D184" s="65" t="str">
        <x:v>Okra</x:v>
      </x:c>
      <x:c r="E184" s="65" t="str">
        <x:v>squash</x:v>
      </x:c>
      <x:c r="F184" s="65" t="str">
        <x:v>Zucchino / zucca estiva</x:v>
      </x:c>
      <x:c r="G184" s="65" t="str">
        <x:v>Squash</x:v>
      </x:c>
      <x:c r="H184" s="65" t="str">
        <x:v>B</x:v>
      </x:c>
      <x:c r="I184" s="65" t="str">
        <x:v>Favorevole</x:v>
      </x:c>
      <x:c r="J184" s="65" t="str">
        <x:v>Simmetrica nella matrice</x:v>
      </x:c>
      <x:c r="K184" s="65" t="str">
        <x:v>Matrice integrata GitHub/Wikipedia e/o Orto Mio</x:v>
      </x:c>
      <x:c r="L184" s="65" t="str">
        <x:v>Non classificata scientificamente nel file</x:v>
      </x:c>
      <x:c r="M184" s="65" t="str">
        <x:v>Preferenza agronomica; non vincolo rigido</x:v>
      </x:c>
      <x:c r="N184" s="65" t="str">
        <x:v>La matrice non conserva la direzione originaria Helps/Helped by del dataset GitHub.</x:v>
      </x:c>
    </x:row>
    <x:row r="185" ht="15" hidden="0" customHeight="1">
      <x:c r="A185" s="65" t="str">
        <x:v>okra__sweet_potato</x:v>
      </x:c>
      <x:c r="B185" s="65" t="str">
        <x:v>okra</x:v>
      </x:c>
      <x:c r="C185" s="65" t="str">
        <x:v>Okra</x:v>
      </x:c>
      <x:c r="D185" s="65" t="str">
        <x:v>Okra</x:v>
      </x:c>
      <x:c r="E185" s="65" t="str">
        <x:v>sweet_potato</x:v>
      </x:c>
      <x:c r="F185" s="65" t="str">
        <x:v>Patata dolce</x:v>
      </x:c>
      <x:c r="G185" s="65" t="str">
        <x:v>Sweet potato</x:v>
      </x:c>
      <x:c r="H185" s="65" t="str">
        <x:v>B</x:v>
      </x:c>
      <x:c r="I185" s="65" t="str">
        <x:v>Favorevole</x:v>
      </x:c>
      <x:c r="J185" s="65" t="str">
        <x:v>Simmetrica nella matrice</x:v>
      </x:c>
      <x:c r="K185" s="65" t="str">
        <x:v>Matrice integrata GitHub/Wikipedia e/o Orto Mio</x:v>
      </x:c>
      <x:c r="L185" s="65" t="str">
        <x:v>Non classificata scientificamente nel file</x:v>
      </x:c>
      <x:c r="M185" s="65" t="str">
        <x:v>Preferenza agronomica; non vincolo rigido</x:v>
      </x:c>
      <x:c r="N185" s="65" t="str">
        <x:v>La matrice non conserva la direzione originaria Helps/Helped by del dataset GitHub.</x:v>
      </x:c>
    </x:row>
    <x:row r="186" ht="15" hidden="0" customHeight="1">
      <x:c r="A186" s="65" t="str">
        <x:v>okra__tomatoes</x:v>
      </x:c>
      <x:c r="B186" s="65" t="str">
        <x:v>okra</x:v>
      </x:c>
      <x:c r="C186" s="65" t="str">
        <x:v>Okra</x:v>
      </x:c>
      <x:c r="D186" s="65" t="str">
        <x:v>Okra</x:v>
      </x:c>
      <x:c r="E186" s="65" t="str">
        <x:v>tomatoes</x:v>
      </x:c>
      <x:c r="F186" s="65" t="str">
        <x:v>Pomodoro</x:v>
      </x:c>
      <x:c r="G186" s="65" t="str">
        <x:v>Tomatoes</x:v>
      </x:c>
      <x:c r="H186" s="65" t="str">
        <x:v>B</x:v>
      </x:c>
      <x:c r="I186" s="65" t="str">
        <x:v>Favorevole</x:v>
      </x:c>
      <x:c r="J186" s="65" t="str">
        <x:v>Simmetrica nella matrice</x:v>
      </x:c>
      <x:c r="K186" s="65" t="str">
        <x:v>Matrice integrata GitHub/Wikipedia e/o Orto Mio</x:v>
      </x:c>
      <x:c r="L186" s="65" t="str">
        <x:v>Non classificata scientificamente nel file</x:v>
      </x:c>
      <x:c r="M186" s="65" t="str">
        <x:v>Preferenza agronomica; non vincolo rigido</x:v>
      </x:c>
      <x:c r="N186" s="65" t="str">
        <x:v>La matrice non conserva la direzione originaria Helps/Helped by del dataset GitHub.</x:v>
      </x:c>
    </x:row>
    <x:row r="187" ht="15" hidden="0" customHeight="1">
      <x:c r="A187" s="65" t="str">
        <x:v>onion__peas</x:v>
      </x:c>
      <x:c r="B187" s="65" t="str">
        <x:v>onion</x:v>
      </x:c>
      <x:c r="C187" s="65" t="str">
        <x:v>Cipolla</x:v>
      </x:c>
      <x:c r="D187" s="65" t="str">
        <x:v>Onion</x:v>
      </x:c>
      <x:c r="E187" s="65" t="str">
        <x:v>peas</x:v>
      </x:c>
      <x:c r="F187" s="65" t="str">
        <x:v>Pisello</x:v>
      </x:c>
      <x:c r="G187" s="65" t="str">
        <x:v>Peas</x:v>
      </x:c>
      <x:c r="H187" s="65" t="str">
        <x:v>M</x:v>
      </x:c>
      <x:c r="I187" s="65" t="str">
        <x:v>Mista / fonti discordanti</x:v>
      </x:c>
      <x:c r="J187" s="65" t="str">
        <x:v>Simmetrica nella matrice</x:v>
      </x:c>
      <x:c r="K187" s="65" t="str">
        <x:v>GitHub/Wikipedia + Orto Mio (fonti discordanti)</x:v>
      </x:c>
      <x:c r="L187" s="65" t="str">
        <x:v>Non classificata scientificamente nel file</x:v>
      </x:c>
      <x:c r="M187" s="65" t="str">
        <x:v>Solo informativa; non usare per la disposizione automatica</x:v>
      </x:c>
      <x:c r="N187" s="65" t="str">
        <x:v>La matrice non conserva la direzione originaria Helps/Helped by del dataset GitHub.</x:v>
      </x:c>
    </x:row>
    <x:row r="188" ht="15" hidden="0" customHeight="1">
      <x:c r="A188" s="65" t="str">
        <x:v>onion__peppers</x:v>
      </x:c>
      <x:c r="B188" s="65" t="str">
        <x:v>onion</x:v>
      </x:c>
      <x:c r="C188" s="65" t="str">
        <x:v>Cipolla</x:v>
      </x:c>
      <x:c r="D188" s="65" t="str">
        <x:v>Onion</x:v>
      </x:c>
      <x:c r="E188" s="65" t="str">
        <x:v>peppers</x:v>
      </x:c>
      <x:c r="F188" s="65" t="str">
        <x:v>Peperone</x:v>
      </x:c>
      <x:c r="G188" s="65" t="str">
        <x:v>Peppers</x:v>
      </x:c>
      <x:c r="H188" s="65" t="str">
        <x:v>B</x:v>
      </x:c>
      <x:c r="I188" s="65" t="str">
        <x:v>Favorevole</x:v>
      </x:c>
      <x:c r="J188" s="65" t="str">
        <x:v>Simmetrica nella matrice</x:v>
      </x:c>
      <x:c r="K188" s="65" t="str">
        <x:v>Matrice integrata GitHub/Wikipedia e/o Orto Mio</x:v>
      </x:c>
      <x:c r="L188" s="65" t="str">
        <x:v>Non classificata scientificamente nel file</x:v>
      </x:c>
      <x:c r="M188" s="65" t="str">
        <x:v>Preferenza agronomica; non vincolo rigido</x:v>
      </x:c>
      <x:c r="N188" s="65" t="str">
        <x:v>La matrice non conserva la direzione originaria Helps/Helped by del dataset GitHub.</x:v>
      </x:c>
    </x:row>
    <x:row r="189" ht="15" hidden="0" customHeight="1">
      <x:c r="A189" s="65" t="str">
        <x:v>onion__potato</x:v>
      </x:c>
      <x:c r="B189" s="65" t="str">
        <x:v>onion</x:v>
      </x:c>
      <x:c r="C189" s="65" t="str">
        <x:v>Cipolla</x:v>
      </x:c>
      <x:c r="D189" s="65" t="str">
        <x:v>Onion</x:v>
      </x:c>
      <x:c r="E189" s="65" t="str">
        <x:v>potato</x:v>
      </x:c>
      <x:c r="F189" s="65" t="str">
        <x:v>Patata</x:v>
      </x:c>
      <x:c r="G189" s="65" t="str">
        <x:v>Potato</x:v>
      </x:c>
      <x:c r="H189" s="65" t="str">
        <x:v>B</x:v>
      </x:c>
      <x:c r="I189" s="65" t="str">
        <x:v>Favorevole</x:v>
      </x:c>
      <x:c r="J189" s="65" t="str">
        <x:v>Simmetrica nella matrice</x:v>
      </x:c>
      <x:c r="K189" s="65" t="str">
        <x:v>Matrice integrata GitHub/Wikipedia e/o Orto Mio</x:v>
      </x:c>
      <x:c r="L189" s="65" t="str">
        <x:v>Non classificata scientificamente nel file</x:v>
      </x:c>
      <x:c r="M189" s="65" t="str">
        <x:v>Preferenza agronomica; non vincolo rigido</x:v>
      </x:c>
      <x:c r="N189" s="65" t="str">
        <x:v>La matrice non conserva la direzione originaria Helps/Helped by del dataset GitHub.</x:v>
      </x:c>
    </x:row>
    <x:row r="190" ht="15" hidden="0" customHeight="1">
      <x:c r="A190" s="65" t="str">
        <x:v>onion__spinach</x:v>
      </x:c>
      <x:c r="B190" s="65" t="str">
        <x:v>onion</x:v>
      </x:c>
      <x:c r="C190" s="65" t="str">
        <x:v>Cipolla</x:v>
      </x:c>
      <x:c r="D190" s="65" t="str">
        <x:v>Onion</x:v>
      </x:c>
      <x:c r="E190" s="65" t="str">
        <x:v>spinach</x:v>
      </x:c>
      <x:c r="F190" s="65" t="str">
        <x:v>Spinacio</x:v>
      </x:c>
      <x:c r="G190" s="65" t="str">
        <x:v>Spinach</x:v>
      </x:c>
      <x:c r="H190" s="65" t="str">
        <x:v>B</x:v>
      </x:c>
      <x:c r="I190" s="65" t="str">
        <x:v>Favorevole</x:v>
      </x:c>
      <x:c r="J190" s="65" t="str">
        <x:v>Simmetrica nella matrice</x:v>
      </x:c>
      <x:c r="K190" s="65" t="str">
        <x:v>Orto Mio; possibile presenza anche nel dataset GitHub/Wikipedia</x:v>
      </x:c>
      <x:c r="L190" s="65" t="str">
        <x:v>Non classificata scientificamente nel file</x:v>
      </x:c>
      <x:c r="M190" s="65" t="str">
        <x:v>Preferenza agronomica; non vincolo rigido</x:v>
      </x:c>
      <x:c r="N190" s="65" t="str">
        <x:v>La matrice non conserva la direzione originaria Helps/Helped by del dataset GitHub.</x:v>
      </x:c>
    </x:row>
    <x:row r="191" ht="15" hidden="0" customHeight="1">
      <x:c r="A191" s="65" t="str">
        <x:v>onion__tomatoes</x:v>
      </x:c>
      <x:c r="B191" s="65" t="str">
        <x:v>onion</x:v>
      </x:c>
      <x:c r="C191" s="65" t="str">
        <x:v>Cipolla</x:v>
      </x:c>
      <x:c r="D191" s="65" t="str">
        <x:v>Onion</x:v>
      </x:c>
      <x:c r="E191" s="65" t="str">
        <x:v>tomatoes</x:v>
      </x:c>
      <x:c r="F191" s="65" t="str">
        <x:v>Pomodoro</x:v>
      </x:c>
      <x:c r="G191" s="65" t="str">
        <x:v>Tomatoes</x:v>
      </x:c>
      <x:c r="H191" s="65" t="str">
        <x:v>B</x:v>
      </x:c>
      <x:c r="I191" s="65" t="str">
        <x:v>Favorevole</x:v>
      </x:c>
      <x:c r="J191" s="65" t="str">
        <x:v>Simmetrica nella matrice</x:v>
      </x:c>
      <x:c r="K191" s="65" t="str">
        <x:v>Matrice integrata GitHub/Wikipedia e/o Orto Mio</x:v>
      </x:c>
      <x:c r="L191" s="65" t="str">
        <x:v>Non classificata scientificamente nel file</x:v>
      </x:c>
      <x:c r="M191" s="65" t="str">
        <x:v>Preferenza agronomica; non vincolo rigido</x:v>
      </x:c>
      <x:c r="N191" s="65" t="str">
        <x:v>La matrice non conserva la direzione originaria Helps/Helped by del dataset GitHub.</x:v>
      </x:c>
    </x:row>
    <x:row r="192" ht="15" hidden="0" customHeight="1">
      <x:c r="A192" s="65" t="str">
        <x:v>onion__endive</x:v>
      </x:c>
      <x:c r="B192" s="65" t="str">
        <x:v>onion</x:v>
      </x:c>
      <x:c r="C192" s="65" t="str">
        <x:v>Cipolla</x:v>
      </x:c>
      <x:c r="D192" s="65" t="str">
        <x:v>Onion</x:v>
      </x:c>
      <x:c r="E192" s="65" t="str">
        <x:v>endive</x:v>
      </x:c>
      <x:c r="F192" s="65" t="str">
        <x:v>Indivia e scarola</x:v>
      </x:c>
      <x:c r="G192" s="65" t="str">
        <x:v>Endive</x:v>
      </x:c>
      <x:c r="H192" s="65" t="str">
        <x:v>B</x:v>
      </x:c>
      <x:c r="I192" s="65" t="str">
        <x:v>Favorevole</x:v>
      </x:c>
      <x:c r="J192" s="65" t="str">
        <x:v>Simmetrica nella matrice</x:v>
      </x:c>
      <x:c r="K192" s="65" t="str">
        <x:v>Orto Mio; possibile presenza anche nel dataset GitHub/Wikipedia</x:v>
      </x:c>
      <x:c r="L192" s="65" t="str">
        <x:v>Non classificata scientificamente nel file</x:v>
      </x:c>
      <x:c r="M192" s="65" t="str">
        <x:v>Preferenza agronomica; non vincolo rigido</x:v>
      </x:c>
      <x:c r="N192" s="65" t="str">
        <x:v>La matrice non conserva la direzione originaria Helps/Helped by del dataset GitHub.</x:v>
      </x:c>
    </x:row>
    <x:row r="193" ht="15" hidden="0" customHeight="1">
      <x:c r="A193" s="65" t="str">
        <x:v>onion__strawberry</x:v>
      </x:c>
      <x:c r="B193" s="65" t="str">
        <x:v>onion</x:v>
      </x:c>
      <x:c r="C193" s="65" t="str">
        <x:v>Cipolla</x:v>
      </x:c>
      <x:c r="D193" s="65" t="str">
        <x:v>Onion</x:v>
      </x:c>
      <x:c r="E193" s="65" t="str">
        <x:v>strawberry</x:v>
      </x:c>
      <x:c r="F193" s="65" t="str">
        <x:v>Fragola</x:v>
      </x:c>
      <x:c r="G193" s="65" t="str">
        <x:v>Strawberry</x:v>
      </x:c>
      <x:c r="H193" s="65" t="str">
        <x:v>B</x:v>
      </x:c>
      <x:c r="I193" s="65" t="str">
        <x:v>Favorevole</x:v>
      </x:c>
      <x:c r="J193" s="65" t="str">
        <x:v>Simmetrica nella matrice</x:v>
      </x:c>
      <x:c r="K193" s="65" t="str">
        <x:v>Orto Mio; possibile presenza anche nel dataset GitHub/Wikipedia</x:v>
      </x:c>
      <x:c r="L193" s="65" t="str">
        <x:v>Non classificata scientificamente nel file</x:v>
      </x:c>
      <x:c r="M193" s="65" t="str">
        <x:v>Preferenza agronomica; non vincolo rigido</x:v>
      </x:c>
      <x:c r="N193" s="65" t="str">
        <x:v>La matrice non conserva la direzione originaria Helps/Helped by del dataset GitHub.</x:v>
      </x:c>
    </x:row>
    <x:row r="194" ht="15" hidden="0" customHeight="1">
      <x:c r="A194" s="65" t="str">
        <x:v>onion__watermelon</x:v>
      </x:c>
      <x:c r="B194" s="65" t="str">
        <x:v>onion</x:v>
      </x:c>
      <x:c r="C194" s="65" t="str">
        <x:v>Cipolla</x:v>
      </x:c>
      <x:c r="D194" s="65" t="str">
        <x:v>Onion</x:v>
      </x:c>
      <x:c r="E194" s="65" t="str">
        <x:v>watermelon</x:v>
      </x:c>
      <x:c r="F194" s="65" t="str">
        <x:v>Anguria</x:v>
      </x:c>
      <x:c r="G194" s="65" t="str">
        <x:v>Watermelon</x:v>
      </x:c>
      <x:c r="H194" s="65" t="str">
        <x:v>B</x:v>
      </x:c>
      <x:c r="I194" s="65" t="str">
        <x:v>Favorevole</x:v>
      </x:c>
      <x:c r="J194" s="65" t="str">
        <x:v>Simmetrica nella matrice</x:v>
      </x:c>
      <x:c r="K194" s="65" t="str">
        <x:v>Orto Mio; possibile presenza anche nel dataset GitHub/Wikipedia</x:v>
      </x:c>
      <x:c r="L194" s="65" t="str">
        <x:v>Non classificata scientificamente nel file</x:v>
      </x:c>
      <x:c r="M194" s="65" t="str">
        <x:v>Preferenza agronomica; non vincolo rigido</x:v>
      </x:c>
      <x:c r="N194" s="65" t="str">
        <x:v>La matrice non conserva la direzione originaria Helps/Helped by del dataset GitHub.</x:v>
      </x:c>
    </x:row>
    <x:row r="195" ht="15" hidden="0" customHeight="1">
      <x:c r="A195" s="65" t="str">
        <x:v>peas__potato</x:v>
      </x:c>
      <x:c r="B195" s="65" t="str">
        <x:v>peas</x:v>
      </x:c>
      <x:c r="C195" s="65" t="str">
        <x:v>Pisello</x:v>
      </x:c>
      <x:c r="D195" s="65" t="str">
        <x:v>Peas</x:v>
      </x:c>
      <x:c r="E195" s="65" t="str">
        <x:v>potato</x:v>
      </x:c>
      <x:c r="F195" s="65" t="str">
        <x:v>Patata</x:v>
      </x:c>
      <x:c r="G195" s="65" t="str">
        <x:v>Potato</x:v>
      </x:c>
      <x:c r="H195" s="65" t="str">
        <x:v>B</x:v>
      </x:c>
      <x:c r="I195" s="65" t="str">
        <x:v>Favorevole</x:v>
      </x:c>
      <x:c r="J195" s="65" t="str">
        <x:v>Simmetrica nella matrice</x:v>
      </x:c>
      <x:c r="K195" s="65" t="str">
        <x:v>Matrice integrata GitHub/Wikipedia e/o Orto Mio</x:v>
      </x:c>
      <x:c r="L195" s="65" t="str">
        <x:v>Non classificata scientificamente nel file</x:v>
      </x:c>
      <x:c r="M195" s="65" t="str">
        <x:v>Preferenza agronomica; non vincolo rigido</x:v>
      </x:c>
      <x:c r="N195" s="65" t="str">
        <x:v>La matrice non conserva la direzione originaria Helps/Helped by del dataset GitHub.</x:v>
      </x:c>
    </x:row>
    <x:row r="196" ht="15" hidden="0" customHeight="1">
      <x:c r="A196" s="65" t="str">
        <x:v>peas__radish</x:v>
      </x:c>
      <x:c r="B196" s="65" t="str">
        <x:v>peas</x:v>
      </x:c>
      <x:c r="C196" s="65" t="str">
        <x:v>Pisello</x:v>
      </x:c>
      <x:c r="D196" s="65" t="str">
        <x:v>Peas</x:v>
      </x:c>
      <x:c r="E196" s="65" t="str">
        <x:v>radish</x:v>
      </x:c>
      <x:c r="F196" s="65" t="str">
        <x:v>Ravanello</x:v>
      </x:c>
      <x:c r="G196" s="65" t="str">
        <x:v>Radish</x:v>
      </x:c>
      <x:c r="H196" s="65" t="str">
        <x:v>B</x:v>
      </x:c>
      <x:c r="I196" s="65" t="str">
        <x:v>Favorevole</x:v>
      </x:c>
      <x:c r="J196" s="65" t="str">
        <x:v>Simmetrica nella matrice</x:v>
      </x:c>
      <x:c r="K196" s="65" t="str">
        <x:v>Matrice integrata GitHub/Wikipedia e/o Orto Mio</x:v>
      </x:c>
      <x:c r="L196" s="65" t="str">
        <x:v>Non classificata scientificamente nel file</x:v>
      </x:c>
      <x:c r="M196" s="65" t="str">
        <x:v>Preferenza agronomica; non vincolo rigido</x:v>
      </x:c>
      <x:c r="N196" s="65" t="str">
        <x:v>La matrice non conserva la direzione originaria Helps/Helped by del dataset GitHub.</x:v>
      </x:c>
    </x:row>
    <x:row r="197" ht="15" hidden="0" customHeight="1">
      <x:c r="A197" s="65" t="str">
        <x:v>peas__spinach</x:v>
      </x:c>
      <x:c r="B197" s="65" t="str">
        <x:v>peas</x:v>
      </x:c>
      <x:c r="C197" s="65" t="str">
        <x:v>Pisello</x:v>
      </x:c>
      <x:c r="D197" s="65" t="str">
        <x:v>Peas</x:v>
      </x:c>
      <x:c r="E197" s="65" t="str">
        <x:v>spinach</x:v>
      </x:c>
      <x:c r="F197" s="65" t="str">
        <x:v>Spinacio</x:v>
      </x:c>
      <x:c r="G197" s="65" t="str">
        <x:v>Spinach</x:v>
      </x:c>
      <x:c r="H197" s="65" t="str">
        <x:v>B</x:v>
      </x:c>
      <x:c r="I197" s="65" t="str">
        <x:v>Favorevole</x:v>
      </x:c>
      <x:c r="J197" s="65" t="str">
        <x:v>Simmetrica nella matrice</x:v>
      </x:c>
      <x:c r="K197" s="65" t="str">
        <x:v>Matrice integrata GitHub/Wikipedia e/o Orto Mio</x:v>
      </x:c>
      <x:c r="L197" s="65" t="str">
        <x:v>Non classificata scientificamente nel file</x:v>
      </x:c>
      <x:c r="M197" s="65" t="str">
        <x:v>Preferenza agronomica; non vincolo rigido</x:v>
      </x:c>
      <x:c r="N197" s="65" t="str">
        <x:v>La matrice non conserva la direzione originaria Helps/Helped by del dataset GitHub.</x:v>
      </x:c>
    </x:row>
    <x:row r="198" ht="15" hidden="0" customHeight="1">
      <x:c r="A198" s="65" t="str">
        <x:v>peas__tomatoes</x:v>
      </x:c>
      <x:c r="B198" s="65" t="str">
        <x:v>peas</x:v>
      </x:c>
      <x:c r="C198" s="65" t="str">
        <x:v>Pisello</x:v>
      </x:c>
      <x:c r="D198" s="65" t="str">
        <x:v>Peas</x:v>
      </x:c>
      <x:c r="E198" s="65" t="str">
        <x:v>tomatoes</x:v>
      </x:c>
      <x:c r="F198" s="65" t="str">
        <x:v>Pomodoro</x:v>
      </x:c>
      <x:c r="G198" s="65" t="str">
        <x:v>Tomatoes</x:v>
      </x:c>
      <x:c r="H198" s="65" t="str">
        <x:v>M</x:v>
      </x:c>
      <x:c r="I198" s="65" t="str">
        <x:v>Mista / fonti discordanti</x:v>
      </x:c>
      <x:c r="J198" s="65" t="str">
        <x:v>Simmetrica nella matrice</x:v>
      </x:c>
      <x:c r="K198" s="65" t="str">
        <x:v>GitHub/Wikipedia + Orto Mio (fonti discordanti)</x:v>
      </x:c>
      <x:c r="L198" s="65" t="str">
        <x:v>Non classificata scientificamente nel file</x:v>
      </x:c>
      <x:c r="M198" s="65" t="str">
        <x:v>Solo informativa; non usare per la disposizione automatica</x:v>
      </x:c>
      <x:c r="N198" s="65" t="str">
        <x:v>La matrice non conserva la direzione originaria Helps/Helped by del dataset GitHub.</x:v>
      </x:c>
    </x:row>
    <x:row r="199" ht="15" hidden="0" customHeight="1">
      <x:c r="A199" s="65" t="str">
        <x:v>peas__turnips_and_rutabagas</x:v>
      </x:c>
      <x:c r="B199" s="65" t="str">
        <x:v>peas</x:v>
      </x:c>
      <x:c r="C199" s="65" t="str">
        <x:v>Pisello</x:v>
      </x:c>
      <x:c r="D199" s="65" t="str">
        <x:v>Peas</x:v>
      </x:c>
      <x:c r="E199" s="65" t="str">
        <x:v>turnips_and_rutabagas</x:v>
      </x:c>
      <x:c r="F199" s="65" t="str">
        <x:v>Rapa e rutabaga</x:v>
      </x:c>
      <x:c r="G199" s="65" t="str">
        <x:v>Turnips and rutabagas</x:v>
      </x:c>
      <x:c r="H199" s="65" t="str">
        <x:v>B</x:v>
      </x:c>
      <x:c r="I199" s="65" t="str">
        <x:v>Favorevole</x:v>
      </x:c>
      <x:c r="J199" s="65" t="str">
        <x:v>Simmetrica nella matrice</x:v>
      </x:c>
      <x:c r="K199" s="65" t="str">
        <x:v>Matrice integrata GitHub/Wikipedia e/o Orto Mio</x:v>
      </x:c>
      <x:c r="L199" s="65" t="str">
        <x:v>Non classificata scientificamente nel file</x:v>
      </x:c>
      <x:c r="M199" s="65" t="str">
        <x:v>Preferenza agronomica; non vincolo rigido</x:v>
      </x:c>
      <x:c r="N199" s="65" t="str">
        <x:v>La matrice non conserva la direzione originaria Helps/Helped by del dataset GitHub.</x:v>
      </x:c>
    </x:row>
    <x:row r="200" ht="15" hidden="0" customHeight="1">
      <x:c r="A200" s="65" t="str">
        <x:v>peas__fennel</x:v>
      </x:c>
      <x:c r="B200" s="65" t="str">
        <x:v>peas</x:v>
      </x:c>
      <x:c r="C200" s="65" t="str">
        <x:v>Pisello</x:v>
      </x:c>
      <x:c r="D200" s="65" t="str">
        <x:v>Peas</x:v>
      </x:c>
      <x:c r="E200" s="65" t="str">
        <x:v>fennel</x:v>
      </x:c>
      <x:c r="F200" s="65" t="str">
        <x:v>Finocchio</x:v>
      </x:c>
      <x:c r="G200" s="65" t="str">
        <x:v>Fennel</x:v>
      </x:c>
      <x:c r="H200" s="65" t="str">
        <x:v>B</x:v>
      </x:c>
      <x:c r="I200" s="65" t="str">
        <x:v>Favorevole</x:v>
      </x:c>
      <x:c r="J200" s="65" t="str">
        <x:v>Simmetrica nella matrice</x:v>
      </x:c>
      <x:c r="K200" s="65" t="str">
        <x:v>Orto Mio; possibile presenza anche nel dataset GitHub/Wikipedia</x:v>
      </x:c>
      <x:c r="L200" s="65" t="str">
        <x:v>Non classificata scientificamente nel file</x:v>
      </x:c>
      <x:c r="M200" s="65" t="str">
        <x:v>Preferenza agronomica; non vincolo rigido</x:v>
      </x:c>
      <x:c r="N200" s="65" t="str">
        <x:v>La matrice non conserva la direzione originaria Helps/Helped by del dataset GitHub.</x:v>
      </x:c>
    </x:row>
    <x:row r="201" ht="15" hidden="0" customHeight="1">
      <x:c r="A201" s="65" t="str">
        <x:v>peppers__tomatoes</x:v>
      </x:c>
      <x:c r="B201" s="65" t="str">
        <x:v>peppers</x:v>
      </x:c>
      <x:c r="C201" s="65" t="str">
        <x:v>Peperone</x:v>
      </x:c>
      <x:c r="D201" s="65" t="str">
        <x:v>Peppers</x:v>
      </x:c>
      <x:c r="E201" s="65" t="str">
        <x:v>tomatoes</x:v>
      </x:c>
      <x:c r="F201" s="65" t="str">
        <x:v>Pomodoro</x:v>
      </x:c>
      <x:c r="G201" s="65" t="str">
        <x:v>Tomatoes</x:v>
      </x:c>
      <x:c r="H201" s="65" t="str">
        <x:v>M</x:v>
      </x:c>
      <x:c r="I201" s="65" t="str">
        <x:v>Mista / fonti discordanti</x:v>
      </x:c>
      <x:c r="J201" s="65" t="str">
        <x:v>Simmetrica nella matrice</x:v>
      </x:c>
      <x:c r="K201" s="65" t="str">
        <x:v>GitHub/Wikipedia + Orto Mio (fonti discordanti)</x:v>
      </x:c>
      <x:c r="L201" s="65" t="str">
        <x:v>Non classificata scientificamente nel file</x:v>
      </x:c>
      <x:c r="M201" s="65" t="str">
        <x:v>Solo informativa; non usare per la disposizione automatica</x:v>
      </x:c>
      <x:c r="N201" s="65" t="str">
        <x:v>La matrice non conserva la direzione originaria Helps/Helped by del dataset GitHub.</x:v>
      </x:c>
    </x:row>
    <x:row r="202" ht="15" hidden="0" customHeight="1">
      <x:c r="A202" s="65" t="str">
        <x:v>peppers__fennel</x:v>
      </x:c>
      <x:c r="B202" s="65" t="str">
        <x:v>peppers</x:v>
      </x:c>
      <x:c r="C202" s="65" t="str">
        <x:v>Peperone</x:v>
      </x:c>
      <x:c r="D202" s="65" t="str">
        <x:v>Peppers</x:v>
      </x:c>
      <x:c r="E202" s="65" t="str">
        <x:v>fennel</x:v>
      </x:c>
      <x:c r="F202" s="65" t="str">
        <x:v>Finocchio</x:v>
      </x:c>
      <x:c r="G202" s="65" t="str">
        <x:v>Fennel</x:v>
      </x:c>
      <x:c r="H202" s="65" t="str">
        <x:v>B</x:v>
      </x:c>
      <x:c r="I202" s="65" t="str">
        <x:v>Favorevole</x:v>
      </x:c>
      <x:c r="J202" s="65" t="str">
        <x:v>Simmetrica nella matrice</x:v>
      </x:c>
      <x:c r="K202" s="65" t="str">
        <x:v>Orto Mio; possibile presenza anche nel dataset GitHub/Wikipedia</x:v>
      </x:c>
      <x:c r="L202" s="65" t="str">
        <x:v>Non classificata scientificamente nel file</x:v>
      </x:c>
      <x:c r="M202" s="65" t="str">
        <x:v>Preferenza agronomica; non vincolo rigido</x:v>
      </x:c>
      <x:c r="N202" s="65" t="str">
        <x:v>La matrice non conserva la direzione originaria Helps/Helped by del dataset GitHub.</x:v>
      </x:c>
    </x:row>
    <x:row r="203" ht="15" hidden="0" customHeight="1">
      <x:c r="A203" s="65" t="str">
        <x:v>potato__pumpkin</x:v>
      </x:c>
      <x:c r="B203" s="65" t="str">
        <x:v>potato</x:v>
      </x:c>
      <x:c r="C203" s="65" t="str">
        <x:v>Patata</x:v>
      </x:c>
      <x:c r="D203" s="65" t="str">
        <x:v>Potato</x:v>
      </x:c>
      <x:c r="E203" s="65" t="str">
        <x:v>pumpkin</x:v>
      </x:c>
      <x:c r="F203" s="65" t="str">
        <x:v>Zucca</x:v>
      </x:c>
      <x:c r="G203" s="65" t="str">
        <x:v>Pumpkin</x:v>
      </x:c>
      <x:c r="H203" s="65" t="str">
        <x:v>C</x:v>
      </x:c>
      <x:c r="I203" s="65" t="str">
        <x:v>Da evitare</x:v>
      </x:c>
      <x:c r="J203" s="65" t="str">
        <x:v>Simmetrica nella matrice</x:v>
      </x:c>
      <x:c r="K203" s="65" t="str">
        <x:v>GitHub/Wikipedia (Orto Mio riporta soltanto relazioni favorevoli)</x:v>
      </x:c>
      <x:c r="L203" s="65" t="str">
        <x:v>Non classificata scientificamente nel file</x:v>
      </x:c>
      <x:c r="M203" s="65" t="str">
        <x:v>Avviso forte; non divieto assoluto</x:v>
      </x:c>
      <x:c r="N203" s="65" t="str">
        <x:v>La matrice non conserva la direzione originaria Helps/Helped by del dataset GitHub.</x:v>
      </x:c>
    </x:row>
    <x:row r="204" ht="15" hidden="0" customHeight="1">
      <x:c r="A204" s="65" t="str">
        <x:v>potato__spinach</x:v>
      </x:c>
      <x:c r="B204" s="65" t="str">
        <x:v>potato</x:v>
      </x:c>
      <x:c r="C204" s="65" t="str">
        <x:v>Patata</x:v>
      </x:c>
      <x:c r="D204" s="65" t="str">
        <x:v>Potato</x:v>
      </x:c>
      <x:c r="E204" s="65" t="str">
        <x:v>spinach</x:v>
      </x:c>
      <x:c r="F204" s="65" t="str">
        <x:v>Spinacio</x:v>
      </x:c>
      <x:c r="G204" s="65" t="str">
        <x:v>Spinach</x:v>
      </x:c>
      <x:c r="H204" s="65" t="str">
        <x:v>B</x:v>
      </x:c>
      <x:c r="I204" s="65" t="str">
        <x:v>Favorevole</x:v>
      </x:c>
      <x:c r="J204" s="65" t="str">
        <x:v>Simmetrica nella matrice</x:v>
      </x:c>
      <x:c r="K204" s="65" t="str">
        <x:v>Orto Mio; possibile presenza anche nel dataset GitHub/Wikipedia</x:v>
      </x:c>
      <x:c r="L204" s="65" t="str">
        <x:v>Non classificata scientificamente nel file</x:v>
      </x:c>
      <x:c r="M204" s="65" t="str">
        <x:v>Preferenza agronomica; non vincolo rigido</x:v>
      </x:c>
      <x:c r="N204" s="65" t="str">
        <x:v>La matrice non conserva la direzione originaria Helps/Helped by del dataset GitHub.</x:v>
      </x:c>
    </x:row>
    <x:row r="205" ht="15" hidden="0" customHeight="1">
      <x:c r="A205" s="65" t="str">
        <x:v>potato__squash</x:v>
      </x:c>
      <x:c r="B205" s="65" t="str">
        <x:v>potato</x:v>
      </x:c>
      <x:c r="C205" s="65" t="str">
        <x:v>Patata</x:v>
      </x:c>
      <x:c r="D205" s="65" t="str">
        <x:v>Potato</x:v>
      </x:c>
      <x:c r="E205" s="65" t="str">
        <x:v>squash</x:v>
      </x:c>
      <x:c r="F205" s="65" t="str">
        <x:v>Zucchino / zucca estiva</x:v>
      </x:c>
      <x:c r="G205" s="65" t="str">
        <x:v>Squash</x:v>
      </x:c>
      <x:c r="H205" s="65" t="str">
        <x:v>C</x:v>
      </x:c>
      <x:c r="I205" s="65" t="str">
        <x:v>Da evitare</x:v>
      </x:c>
      <x:c r="J205" s="65" t="str">
        <x:v>Simmetrica nella matrice</x:v>
      </x:c>
      <x:c r="K205" s="65" t="str">
        <x:v>GitHub/Wikipedia (Orto Mio riporta soltanto relazioni favorevoli)</x:v>
      </x:c>
      <x:c r="L205" s="65" t="str">
        <x:v>Non classificata scientificamente nel file</x:v>
      </x:c>
      <x:c r="M205" s="65" t="str">
        <x:v>Avviso forte; non divieto assoluto</x:v>
      </x:c>
      <x:c r="N205" s="65" t="str">
        <x:v>La matrice non conserva la direzione originaria Helps/Helped by del dataset GitHub.</x:v>
      </x:c>
    </x:row>
    <x:row r="206" ht="15" hidden="0" customHeight="1">
      <x:c r="A206" s="65" t="str">
        <x:v>potato__tomatoes</x:v>
      </x:c>
      <x:c r="B206" s="65" t="str">
        <x:v>potato</x:v>
      </x:c>
      <x:c r="C206" s="65" t="str">
        <x:v>Patata</x:v>
      </x:c>
      <x:c r="D206" s="65" t="str">
        <x:v>Potato</x:v>
      </x:c>
      <x:c r="E206" s="65" t="str">
        <x:v>tomatoes</x:v>
      </x:c>
      <x:c r="F206" s="65" t="str">
        <x:v>Pomodoro</x:v>
      </x:c>
      <x:c r="G206" s="65" t="str">
        <x:v>Tomatoes</x:v>
      </x:c>
      <x:c r="H206" s="65" t="str">
        <x:v>C</x:v>
      </x:c>
      <x:c r="I206" s="65" t="str">
        <x:v>Da evitare</x:v>
      </x:c>
      <x:c r="J206" s="65" t="str">
        <x:v>Simmetrica nella matrice</x:v>
      </x:c>
      <x:c r="K206" s="65" t="str">
        <x:v>GitHub/Wikipedia (Orto Mio riporta soltanto relazioni favorevoli)</x:v>
      </x:c>
      <x:c r="L206" s="65" t="str">
        <x:v>Non classificata scientificamente nel file</x:v>
      </x:c>
      <x:c r="M206" s="65" t="str">
        <x:v>Avviso forte; non divieto assoluto</x:v>
      </x:c>
      <x:c r="N206" s="65" t="str">
        <x:v>La matrice non conserva la direzione originaria Helps/Helped by del dataset GitHub.</x:v>
      </x:c>
    </x:row>
    <x:row r="207" ht="15" hidden="0" customHeight="1">
      <x:c r="A207" s="65" t="str">
        <x:v>pumpkin__radish</x:v>
      </x:c>
      <x:c r="B207" s="65" t="str">
        <x:v>pumpkin</x:v>
      </x:c>
      <x:c r="C207" s="65" t="str">
        <x:v>Zucca</x:v>
      </x:c>
      <x:c r="D207" s="65" t="str">
        <x:v>Pumpkin</x:v>
      </x:c>
      <x:c r="E207" s="65" t="str">
        <x:v>radish</x:v>
      </x:c>
      <x:c r="F207" s="65" t="str">
        <x:v>Ravanello</x:v>
      </x:c>
      <x:c r="G207" s="65" t="str">
        <x:v>Radish</x:v>
      </x:c>
      <x:c r="H207" s="65" t="str">
        <x:v>B</x:v>
      </x:c>
      <x:c r="I207" s="65" t="str">
        <x:v>Favorevole</x:v>
      </x:c>
      <x:c r="J207" s="65" t="str">
        <x:v>Simmetrica nella matrice</x:v>
      </x:c>
      <x:c r="K207" s="65" t="str">
        <x:v>Matrice integrata GitHub/Wikipedia e/o Orto Mio</x:v>
      </x:c>
      <x:c r="L207" s="65" t="str">
        <x:v>Non classificata scientificamente nel file</x:v>
      </x:c>
      <x:c r="M207" s="65" t="str">
        <x:v>Preferenza agronomica; non vincolo rigido</x:v>
      </x:c>
      <x:c r="N207" s="65" t="str">
        <x:v>La matrice non conserva la direzione originaria Helps/Helped by del dataset GitHub.</x:v>
      </x:c>
    </x:row>
    <x:row r="208" ht="15" hidden="0" customHeight="1">
      <x:c r="A208" s="65" t="str">
        <x:v>pumpkin__fennel</x:v>
      </x:c>
      <x:c r="B208" s="65" t="str">
        <x:v>pumpkin</x:v>
      </x:c>
      <x:c r="C208" s="65" t="str">
        <x:v>Zucca</x:v>
      </x:c>
      <x:c r="D208" s="65" t="str">
        <x:v>Pumpkin</x:v>
      </x:c>
      <x:c r="E208" s="65" t="str">
        <x:v>fennel</x:v>
      </x:c>
      <x:c r="F208" s="65" t="str">
        <x:v>Finocchio</x:v>
      </x:c>
      <x:c r="G208" s="65" t="str">
        <x:v>Fennel</x:v>
      </x:c>
      <x:c r="H208" s="65" t="str">
        <x:v>B</x:v>
      </x:c>
      <x:c r="I208" s="65" t="str">
        <x:v>Favorevole</x:v>
      </x:c>
      <x:c r="J208" s="65" t="str">
        <x:v>Simmetrica nella matrice</x:v>
      </x:c>
      <x:c r="K208" s="65" t="str">
        <x:v>Orto Mio; possibile presenza anche nel dataset GitHub/Wikipedia</x:v>
      </x:c>
      <x:c r="L208" s="65" t="str">
        <x:v>Non classificata scientificamente nel file</x:v>
      </x:c>
      <x:c r="M208" s="65" t="str">
        <x:v>Preferenza agronomica; non vincolo rigido</x:v>
      </x:c>
      <x:c r="N208" s="65" t="str">
        <x:v>La matrice non conserva la direzione originaria Helps/Helped by del dataset GitHub.</x:v>
      </x:c>
    </x:row>
    <x:row r="209" ht="15" hidden="0" customHeight="1">
      <x:c r="A209" s="65" t="str">
        <x:v>radish__spinach</x:v>
      </x:c>
      <x:c r="B209" s="65" t="str">
        <x:v>radish</x:v>
      </x:c>
      <x:c r="C209" s="65" t="str">
        <x:v>Ravanello</x:v>
      </x:c>
      <x:c r="D209" s="65" t="str">
        <x:v>Radish</x:v>
      </x:c>
      <x:c r="E209" s="65" t="str">
        <x:v>spinach</x:v>
      </x:c>
      <x:c r="F209" s="65" t="str">
        <x:v>Spinacio</x:v>
      </x:c>
      <x:c r="G209" s="65" t="str">
        <x:v>Spinach</x:v>
      </x:c>
      <x:c r="H209" s="65" t="str">
        <x:v>B</x:v>
      </x:c>
      <x:c r="I209" s="65" t="str">
        <x:v>Favorevole</x:v>
      </x:c>
      <x:c r="J209" s="65" t="str">
        <x:v>Simmetrica nella matrice</x:v>
      </x:c>
      <x:c r="K209" s="65" t="str">
        <x:v>Orto Mio; possibile presenza anche nel dataset GitHub/Wikipedia</x:v>
      </x:c>
      <x:c r="L209" s="65" t="str">
        <x:v>Non classificata scientificamente nel file</x:v>
      </x:c>
      <x:c r="M209" s="65" t="str">
        <x:v>Preferenza agronomica; non vincolo rigido</x:v>
      </x:c>
      <x:c r="N209" s="65" t="str">
        <x:v>La matrice non conserva la direzione originaria Helps/Helped by del dataset GitHub.</x:v>
      </x:c>
    </x:row>
    <x:row r="210" ht="15" hidden="0" customHeight="1">
      <x:c r="A210" s="65" t="str">
        <x:v>radish__squash</x:v>
      </x:c>
      <x:c r="B210" s="65" t="str">
        <x:v>radish</x:v>
      </x:c>
      <x:c r="C210" s="65" t="str">
        <x:v>Ravanello</x:v>
      </x:c>
      <x:c r="D210" s="65" t="str">
        <x:v>Radish</x:v>
      </x:c>
      <x:c r="E210" s="65" t="str">
        <x:v>squash</x:v>
      </x:c>
      <x:c r="F210" s="65" t="str">
        <x:v>Zucchino / zucca estiva</x:v>
      </x:c>
      <x:c r="G210" s="65" t="str">
        <x:v>Squash</x:v>
      </x:c>
      <x:c r="H210" s="65" t="str">
        <x:v>B</x:v>
      </x:c>
      <x:c r="I210" s="65" t="str">
        <x:v>Favorevole</x:v>
      </x:c>
      <x:c r="J210" s="65" t="str">
        <x:v>Simmetrica nella matrice</x:v>
      </x:c>
      <x:c r="K210" s="65" t="str">
        <x:v>Orto Mio; possibile presenza anche nel dataset GitHub/Wikipedia</x:v>
      </x:c>
      <x:c r="L210" s="65" t="str">
        <x:v>Non classificata scientificamente nel file</x:v>
      </x:c>
      <x:c r="M210" s="65" t="str">
        <x:v>Preferenza agronomica; non vincolo rigido</x:v>
      </x:c>
      <x:c r="N210" s="65" t="str">
        <x:v>La matrice non conserva la direzione originaria Helps/Helped by del dataset GitHub.</x:v>
      </x:c>
    </x:row>
    <x:row r="211" ht="15" hidden="0" customHeight="1">
      <x:c r="A211" s="65" t="str">
        <x:v>radish__artichoke</x:v>
      </x:c>
      <x:c r="B211" s="65" t="str">
        <x:v>radish</x:v>
      </x:c>
      <x:c r="C211" s="65" t="str">
        <x:v>Ravanello</x:v>
      </x:c>
      <x:c r="D211" s="65" t="str">
        <x:v>Radish</x:v>
      </x:c>
      <x:c r="E211" s="65" t="str">
        <x:v>artichoke</x:v>
      </x:c>
      <x:c r="F211" s="65" t="str">
        <x:v>Carciofo</x:v>
      </x:c>
      <x:c r="G211" s="65" t="str">
        <x:v>Artichoke</x:v>
      </x:c>
      <x:c r="H211" s="65" t="str">
        <x:v>B</x:v>
      </x:c>
      <x:c r="I211" s="65" t="str">
        <x:v>Favorevole</x:v>
      </x:c>
      <x:c r="J211" s="65" t="str">
        <x:v>Simmetrica nella matrice</x:v>
      </x:c>
      <x:c r="K211" s="65" t="str">
        <x:v>Orto Mio; possibile presenza anche nel dataset GitHub/Wikipedia</x:v>
      </x:c>
      <x:c r="L211" s="65" t="str">
        <x:v>Non classificata scientificamente nel file</x:v>
      </x:c>
      <x:c r="M211" s="65" t="str">
        <x:v>Preferenza agronomica; non vincolo rigido</x:v>
      </x:c>
      <x:c r="N211" s="65" t="str">
        <x:v>La matrice non conserva la direzione originaria Helps/Helped by del dataset GitHub.</x:v>
      </x:c>
    </x:row>
    <x:row r="212" ht="15" hidden="0" customHeight="1">
      <x:c r="A212" s="65" t="str">
        <x:v>radish__cardoon</x:v>
      </x:c>
      <x:c r="B212" s="65" t="str">
        <x:v>radish</x:v>
      </x:c>
      <x:c r="C212" s="65" t="str">
        <x:v>Ravanello</x:v>
      </x:c>
      <x:c r="D212" s="65" t="str">
        <x:v>Radish</x:v>
      </x:c>
      <x:c r="E212" s="65" t="str">
        <x:v>cardoon</x:v>
      </x:c>
      <x:c r="F212" s="65" t="str">
        <x:v>Cardo</x:v>
      </x:c>
      <x:c r="G212" s="65" t="str">
        <x:v>Cardoon</x:v>
      </x:c>
      <x:c r="H212" s="65" t="str">
        <x:v>B</x:v>
      </x:c>
      <x:c r="I212" s="65" t="str">
        <x:v>Favorevole</x:v>
      </x:c>
      <x:c r="J212" s="65" t="str">
        <x:v>Simmetrica nella matrice</x:v>
      </x:c>
      <x:c r="K212" s="65" t="str">
        <x:v>Orto Mio; possibile presenza anche nel dataset GitHub/Wikipedia</x:v>
      </x:c>
      <x:c r="L212" s="65" t="str">
        <x:v>Non classificata scientificamente nel file</x:v>
      </x:c>
      <x:c r="M212" s="65" t="str">
        <x:v>Preferenza agronomica; non vincolo rigido</x:v>
      </x:c>
      <x:c r="N212" s="65" t="str">
        <x:v>La matrice non conserva la direzione originaria Helps/Helped by del dataset GitHub.</x:v>
      </x:c>
    </x:row>
    <x:row r="213" ht="15" hidden="0" customHeight="1">
      <x:c r="A213" s="65" t="str">
        <x:v>radish__endive</x:v>
      </x:c>
      <x:c r="B213" s="65" t="str">
        <x:v>radish</x:v>
      </x:c>
      <x:c r="C213" s="65" t="str">
        <x:v>Ravanello</x:v>
      </x:c>
      <x:c r="D213" s="65" t="str">
        <x:v>Radish</x:v>
      </x:c>
      <x:c r="E213" s="65" t="str">
        <x:v>endive</x:v>
      </x:c>
      <x:c r="F213" s="65" t="str">
        <x:v>Indivia e scarola</x:v>
      </x:c>
      <x:c r="G213" s="65" t="str">
        <x:v>Endive</x:v>
      </x:c>
      <x:c r="H213" s="65" t="str">
        <x:v>B</x:v>
      </x:c>
      <x:c r="I213" s="65" t="str">
        <x:v>Favorevole</x:v>
      </x:c>
      <x:c r="J213" s="65" t="str">
        <x:v>Simmetrica nella matrice</x:v>
      </x:c>
      <x:c r="K213" s="65" t="str">
        <x:v>Orto Mio; possibile presenza anche nel dataset GitHub/Wikipedia</x:v>
      </x:c>
      <x:c r="L213" s="65" t="str">
        <x:v>Non classificata scientificamente nel file</x:v>
      </x:c>
      <x:c r="M213" s="65" t="str">
        <x:v>Preferenza agronomica; non vincolo rigido</x:v>
      </x:c>
      <x:c r="N213" s="65" t="str">
        <x:v>La matrice non conserva la direzione originaria Helps/Helped by del dataset GitHub.</x:v>
      </x:c>
    </x:row>
    <x:row r="214" ht="15" hidden="0" customHeight="1">
      <x:c r="A214" s="65" t="str">
        <x:v>radish__parsley</x:v>
      </x:c>
      <x:c r="B214" s="65" t="str">
        <x:v>radish</x:v>
      </x:c>
      <x:c r="C214" s="65" t="str">
        <x:v>Ravanello</x:v>
      </x:c>
      <x:c r="D214" s="65" t="str">
        <x:v>Radish</x:v>
      </x:c>
      <x:c r="E214" s="65" t="str">
        <x:v>parsley</x:v>
      </x:c>
      <x:c r="F214" s="65" t="str">
        <x:v>Prezzemolo</x:v>
      </x:c>
      <x:c r="G214" s="65" t="str">
        <x:v>Parsley</x:v>
      </x:c>
      <x:c r="H214" s="65" t="str">
        <x:v>B</x:v>
      </x:c>
      <x:c r="I214" s="65" t="str">
        <x:v>Favorevole</x:v>
      </x:c>
      <x:c r="J214" s="65" t="str">
        <x:v>Simmetrica nella matrice</x:v>
      </x:c>
      <x:c r="K214" s="65" t="str">
        <x:v>Orto Mio; possibile presenza anche nel dataset GitHub/Wikipedia</x:v>
      </x:c>
      <x:c r="L214" s="65" t="str">
        <x:v>Non classificata scientificamente nel file</x:v>
      </x:c>
      <x:c r="M214" s="65" t="str">
        <x:v>Preferenza agronomica; non vincolo rigido</x:v>
      </x:c>
      <x:c r="N214" s="65" t="str">
        <x:v>La matrice non conserva la direzione originaria Helps/Helped by del dataset GitHub.</x:v>
      </x:c>
    </x:row>
    <x:row r="215" ht="15" hidden="0" customHeight="1">
      <x:c r="A215" s="65" t="str">
        <x:v>spinach__squash</x:v>
      </x:c>
      <x:c r="B215" s="65" t="str">
        <x:v>spinach</x:v>
      </x:c>
      <x:c r="C215" s="65" t="str">
        <x:v>Spinacio</x:v>
      </x:c>
      <x:c r="D215" s="65" t="str">
        <x:v>Spinach</x:v>
      </x:c>
      <x:c r="E215" s="65" t="str">
        <x:v>squash</x:v>
      </x:c>
      <x:c r="F215" s="65" t="str">
        <x:v>Zucchino / zucca estiva</x:v>
      </x:c>
      <x:c r="G215" s="65" t="str">
        <x:v>Squash</x:v>
      </x:c>
      <x:c r="H215" s="65" t="str">
        <x:v>B</x:v>
      </x:c>
      <x:c r="I215" s="65" t="str">
        <x:v>Favorevole</x:v>
      </x:c>
      <x:c r="J215" s="65" t="str">
        <x:v>Simmetrica nella matrice</x:v>
      </x:c>
      <x:c r="K215" s="65" t="str">
        <x:v>Orto Mio; possibile presenza anche nel dataset GitHub/Wikipedia</x:v>
      </x:c>
      <x:c r="L215" s="65" t="str">
        <x:v>Non classificata scientificamente nel file</x:v>
      </x:c>
      <x:c r="M215" s="65" t="str">
        <x:v>Preferenza agronomica; non vincolo rigido</x:v>
      </x:c>
      <x:c r="N215" s="65" t="str">
        <x:v>La matrice non conserva la direzione originaria Helps/Helped by del dataset GitHub.</x:v>
      </x:c>
    </x:row>
    <x:row r="216" ht="15" hidden="0" customHeight="1">
      <x:c r="A216" s="65" t="str">
        <x:v>spinach__artichoke</x:v>
      </x:c>
      <x:c r="B216" s="65" t="str">
        <x:v>spinach</x:v>
      </x:c>
      <x:c r="C216" s="65" t="str">
        <x:v>Spinacio</x:v>
      </x:c>
      <x:c r="D216" s="65" t="str">
        <x:v>Spinach</x:v>
      </x:c>
      <x:c r="E216" s="65" t="str">
        <x:v>artichoke</x:v>
      </x:c>
      <x:c r="F216" s="65" t="str">
        <x:v>Carciofo</x:v>
      </x:c>
      <x:c r="G216" s="65" t="str">
        <x:v>Artichoke</x:v>
      </x:c>
      <x:c r="H216" s="65" t="str">
        <x:v>B</x:v>
      </x:c>
      <x:c r="I216" s="65" t="str">
        <x:v>Favorevole</x:v>
      </x:c>
      <x:c r="J216" s="65" t="str">
        <x:v>Simmetrica nella matrice</x:v>
      </x:c>
      <x:c r="K216" s="65" t="str">
        <x:v>Orto Mio; possibile presenza anche nel dataset GitHub/Wikipedia</x:v>
      </x:c>
      <x:c r="L216" s="65" t="str">
        <x:v>Non classificata scientificamente nel file</x:v>
      </x:c>
      <x:c r="M216" s="65" t="str">
        <x:v>Preferenza agronomica; non vincolo rigido</x:v>
      </x:c>
      <x:c r="N216" s="65" t="str">
        <x:v>La matrice non conserva la direzione originaria Helps/Helped by del dataset GitHub.</x:v>
      </x:c>
    </x:row>
    <x:row r="217" ht="15" hidden="0" customHeight="1">
      <x:c r="A217" s="65" t="str">
        <x:v>spinach__cardoon</x:v>
      </x:c>
      <x:c r="B217" s="65" t="str">
        <x:v>spinach</x:v>
      </x:c>
      <x:c r="C217" s="65" t="str">
        <x:v>Spinacio</x:v>
      </x:c>
      <x:c r="D217" s="65" t="str">
        <x:v>Spinach</x:v>
      </x:c>
      <x:c r="E217" s="65" t="str">
        <x:v>cardoon</x:v>
      </x:c>
      <x:c r="F217" s="65" t="str">
        <x:v>Cardo</x:v>
      </x:c>
      <x:c r="G217" s="65" t="str">
        <x:v>Cardoon</x:v>
      </x:c>
      <x:c r="H217" s="65" t="str">
        <x:v>B</x:v>
      </x:c>
      <x:c r="I217" s="65" t="str">
        <x:v>Favorevole</x:v>
      </x:c>
      <x:c r="J217" s="65" t="str">
        <x:v>Simmetrica nella matrice</x:v>
      </x:c>
      <x:c r="K217" s="65" t="str">
        <x:v>Orto Mio; possibile presenza anche nel dataset GitHub/Wikipedia</x:v>
      </x:c>
      <x:c r="L217" s="65" t="str">
        <x:v>Non classificata scientificamente nel file</x:v>
      </x:c>
      <x:c r="M217" s="65" t="str">
        <x:v>Preferenza agronomica; non vincolo rigido</x:v>
      </x:c>
      <x:c r="N217" s="65" t="str">
        <x:v>La matrice non conserva la direzione originaria Helps/Helped by del dataset GitHub.</x:v>
      </x:c>
    </x:row>
    <x:row r="218" ht="15" hidden="0" customHeight="1">
      <x:c r="A218" s="65" t="str">
        <x:v>spinach__fennel</x:v>
      </x:c>
      <x:c r="B218" s="65" t="str">
        <x:v>spinach</x:v>
      </x:c>
      <x:c r="C218" s="65" t="str">
        <x:v>Spinacio</x:v>
      </x:c>
      <x:c r="D218" s="65" t="str">
        <x:v>Spinach</x:v>
      </x:c>
      <x:c r="E218" s="65" t="str">
        <x:v>fennel</x:v>
      </x:c>
      <x:c r="F218" s="65" t="str">
        <x:v>Finocchio</x:v>
      </x:c>
      <x:c r="G218" s="65" t="str">
        <x:v>Fennel</x:v>
      </x:c>
      <x:c r="H218" s="65" t="str">
        <x:v>B</x:v>
      </x:c>
      <x:c r="I218" s="65" t="str">
        <x:v>Favorevole</x:v>
      </x:c>
      <x:c r="J218" s="65" t="str">
        <x:v>Simmetrica nella matrice</x:v>
      </x:c>
      <x:c r="K218" s="65" t="str">
        <x:v>Orto Mio; possibile presenza anche nel dataset GitHub/Wikipedia</x:v>
      </x:c>
      <x:c r="L218" s="65" t="str">
        <x:v>Non classificata scientificamente nel file</x:v>
      </x:c>
      <x:c r="M218" s="65" t="str">
        <x:v>Preferenza agronomica; non vincolo rigido</x:v>
      </x:c>
      <x:c r="N218" s="65" t="str">
        <x:v>La matrice non conserva la direzione originaria Helps/Helped by del dataset GitHub.</x:v>
      </x:c>
    </x:row>
    <x:row r="219" ht="15" hidden="0" customHeight="1">
      <x:c r="A219" s="65" t="str">
        <x:v>spinach__parsley</x:v>
      </x:c>
      <x:c r="B219" s="65" t="str">
        <x:v>spinach</x:v>
      </x:c>
      <x:c r="C219" s="65" t="str">
        <x:v>Spinacio</x:v>
      </x:c>
      <x:c r="D219" s="65" t="str">
        <x:v>Spinach</x:v>
      </x:c>
      <x:c r="E219" s="65" t="str">
        <x:v>parsley</x:v>
      </x:c>
      <x:c r="F219" s="65" t="str">
        <x:v>Prezzemolo</x:v>
      </x:c>
      <x:c r="G219" s="65" t="str">
        <x:v>Parsley</x:v>
      </x:c>
      <x:c r="H219" s="65" t="str">
        <x:v>B</x:v>
      </x:c>
      <x:c r="I219" s="65" t="str">
        <x:v>Favorevole</x:v>
      </x:c>
      <x:c r="J219" s="65" t="str">
        <x:v>Simmetrica nella matrice</x:v>
      </x:c>
      <x:c r="K219" s="65" t="str">
        <x:v>Orto Mio; possibile presenza anche nel dataset GitHub/Wikipedia</x:v>
      </x:c>
      <x:c r="L219" s="65" t="str">
        <x:v>Non classificata scientificamente nel file</x:v>
      </x:c>
      <x:c r="M219" s="65" t="str">
        <x:v>Preferenza agronomica; non vincolo rigido</x:v>
      </x:c>
      <x:c r="N219" s="65" t="str">
        <x:v>La matrice non conserva la direzione originaria Helps/Helped by del dataset GitHub.</x:v>
      </x:c>
    </x:row>
    <x:row r="220" ht="15" hidden="0" customHeight="1">
      <x:c r="A220" s="65" t="str">
        <x:v>spinach__arugula</x:v>
      </x:c>
      <x:c r="B220" s="65" t="str">
        <x:v>spinach</x:v>
      </x:c>
      <x:c r="C220" s="65" t="str">
        <x:v>Spinacio</x:v>
      </x:c>
      <x:c r="D220" s="65" t="str">
        <x:v>Spinach</x:v>
      </x:c>
      <x:c r="E220" s="65" t="str">
        <x:v>arugula</x:v>
      </x:c>
      <x:c r="F220" s="65" t="str">
        <x:v>Rucola</x:v>
      </x:c>
      <x:c r="G220" s="65" t="str">
        <x:v>Arugula</x:v>
      </x:c>
      <x:c r="H220" s="65" t="str">
        <x:v>B</x:v>
      </x:c>
      <x:c r="I220" s="65" t="str">
        <x:v>Favorevole</x:v>
      </x:c>
      <x:c r="J220" s="65" t="str">
        <x:v>Simmetrica nella matrice</x:v>
      </x:c>
      <x:c r="K220" s="65" t="str">
        <x:v>Orto Mio; possibile presenza anche nel dataset GitHub/Wikipedia</x:v>
      </x:c>
      <x:c r="L220" s="65" t="str">
        <x:v>Non classificata scientificamente nel file</x:v>
      </x:c>
      <x:c r="M220" s="65" t="str">
        <x:v>Preferenza agronomica; non vincolo rigido</x:v>
      </x:c>
      <x:c r="N220" s="65" t="str">
        <x:v>La matrice non conserva la direzione originaria Helps/Helped by del dataset GitHub.</x:v>
      </x:c>
    </x:row>
    <x:row r="221" ht="15" hidden="0" customHeight="1">
      <x:c r="A221" s="65" t="str">
        <x:v>tomatoes__basil</x:v>
      </x:c>
      <x:c r="B221" s="65" t="str">
        <x:v>tomatoes</x:v>
      </x:c>
      <x:c r="C221" s="65" t="str">
        <x:v>Pomodoro</x:v>
      </x:c>
      <x:c r="D221" s="65" t="str">
        <x:v>Tomatoes</x:v>
      </x:c>
      <x:c r="E221" s="65" t="str">
        <x:v>basil</x:v>
      </x:c>
      <x:c r="F221" s="65" t="str">
        <x:v>Basilico</x:v>
      </x:c>
      <x:c r="G221" s="65" t="str">
        <x:v>Basil</x:v>
      </x:c>
      <x:c r="H221" s="65" t="str">
        <x:v>B</x:v>
      </x:c>
      <x:c r="I221" s="65" t="str">
        <x:v>Favorevole</x:v>
      </x:c>
      <x:c r="J221" s="65" t="str">
        <x:v>Simmetrica nella matrice</x:v>
      </x:c>
      <x:c r="K221" s="65" t="str">
        <x:v>Orto Mio; possibile presenza anche nel dataset GitHub/Wikipedia</x:v>
      </x:c>
      <x:c r="L221" s="65" t="str">
        <x:v>Non classificata scientificamente nel file</x:v>
      </x:c>
      <x:c r="M221" s="65" t="str">
        <x:v>Preferenza agronomica; non vincolo rigido</x:v>
      </x:c>
      <x:c r="N221" s="65" t="str">
        <x:v>La matrice non conserva la direzione originaria Helps/Helped by del dataset GitHub.</x:v>
      </x:c>
    </x:row>
    <x:row r="222" ht="15" hidden="0" customHeight="1">
      <x:c r="A222" s="65" t="str">
        <x:v>tomatoes__chicory</x:v>
      </x:c>
      <x:c r="B222" s="65" t="str">
        <x:v>tomatoes</x:v>
      </x:c>
      <x:c r="C222" s="65" t="str">
        <x:v>Pomodoro</x:v>
      </x:c>
      <x:c r="D222" s="65" t="str">
        <x:v>Tomatoes</x:v>
      </x:c>
      <x:c r="E222" s="65" t="str">
        <x:v>chicory</x:v>
      </x:c>
      <x:c r="F222" s="65" t="str">
        <x:v>Cicoria</x:v>
      </x:c>
      <x:c r="G222" s="65" t="str">
        <x:v>Chicory</x:v>
      </x:c>
      <x:c r="H222" s="65" t="str">
        <x:v>B</x:v>
      </x:c>
      <x:c r="I222" s="65" t="str">
        <x:v>Favorevole</x:v>
      </x:c>
      <x:c r="J222" s="65" t="str">
        <x:v>Simmetrica nella matrice</x:v>
      </x:c>
      <x:c r="K222" s="65" t="str">
        <x:v>Orto Mio; possibile presenza anche nel dataset GitHub/Wikipedia</x:v>
      </x:c>
      <x:c r="L222" s="65" t="str">
        <x:v>Non classificata scientificamente nel file</x:v>
      </x:c>
      <x:c r="M222" s="65" t="str">
        <x:v>Preferenza agronomica; non vincolo rigido</x:v>
      </x:c>
      <x:c r="N222" s="65" t="str">
        <x:v>La matrice non conserva la direzione originaria Helps/Helped by del dataset GitHub.</x:v>
      </x:c>
    </x:row>
    <x:row r="223" ht="15" hidden="0" customHeight="1">
      <x:c r="A223" s="65" t="str">
        <x:v>basil__fennel</x:v>
      </x:c>
      <x:c r="B223" s="65" t="str">
        <x:v>basil</x:v>
      </x:c>
      <x:c r="C223" s="65" t="str">
        <x:v>Basilico</x:v>
      </x:c>
      <x:c r="D223" s="65" t="str">
        <x:v>Basil</x:v>
      </x:c>
      <x:c r="E223" s="65" t="str">
        <x:v>fennel</x:v>
      </x:c>
      <x:c r="F223" s="65" t="str">
        <x:v>Finocchio</x:v>
      </x:c>
      <x:c r="G223" s="65" t="str">
        <x:v>Fennel</x:v>
      </x:c>
      <x:c r="H223" s="65" t="str">
        <x:v>B</x:v>
      </x:c>
      <x:c r="I223" s="65" t="str">
        <x:v>Favorevole</x:v>
      </x:c>
      <x:c r="J223" s="65" t="str">
        <x:v>Simmetrica nella matrice</x:v>
      </x:c>
      <x:c r="K223" s="65" t="str">
        <x:v>Orto Mio; possibile presenza anche nel dataset GitHub/Wikipedia</x:v>
      </x:c>
      <x:c r="L223" s="65" t="str">
        <x:v>Non classificata scientificamente nel file</x:v>
      </x:c>
      <x:c r="M223" s="65" t="str">
        <x:v>Preferenza agronomica; non vincolo rigido</x:v>
      </x:c>
      <x:c r="N223" s="65" t="str">
        <x:v>La matrice non conserva la direzione originaria Helps/Helped by del dataset GitHub.</x:v>
      </x:c>
    </x:row>
    <x:row r="224" ht="15" hidden="0" customHeight="1">
      <x:c r="A224" s="65" t="str">
        <x:v>artichoke__endive</x:v>
      </x:c>
      <x:c r="B224" s="65" t="str">
        <x:v>artichoke</x:v>
      </x:c>
      <x:c r="C224" s="65" t="str">
        <x:v>Carciofo</x:v>
      </x:c>
      <x:c r="D224" s="65" t="str">
        <x:v>Artichoke</x:v>
      </x:c>
      <x:c r="E224" s="65" t="str">
        <x:v>endive</x:v>
      </x:c>
      <x:c r="F224" s="65" t="str">
        <x:v>Indivia e scarola</x:v>
      </x:c>
      <x:c r="G224" s="65" t="str">
        <x:v>Endive</x:v>
      </x:c>
      <x:c r="H224" s="65" t="str">
        <x:v>B</x:v>
      </x:c>
      <x:c r="I224" s="65" t="str">
        <x:v>Favorevole</x:v>
      </x:c>
      <x:c r="J224" s="65" t="str">
        <x:v>Simmetrica nella matrice</x:v>
      </x:c>
      <x:c r="K224" s="65" t="str">
        <x:v>Orto Mio; possibile presenza anche nel dataset GitHub/Wikipedia</x:v>
      </x:c>
      <x:c r="L224" s="65" t="str">
        <x:v>Non classificata scientificamente nel file</x:v>
      </x:c>
      <x:c r="M224" s="65" t="str">
        <x:v>Preferenza agronomica; non vincolo rigido</x:v>
      </x:c>
      <x:c r="N224" s="65" t="str">
        <x:v>La matrice non conserva la direzione originaria Helps/Helped by del dataset GitHub.</x:v>
      </x:c>
    </x:row>
    <x:row r="225" ht="15" hidden="0" customHeight="1">
      <x:c r="A225" s="65" t="str">
        <x:v>chicory__fennel</x:v>
      </x:c>
      <x:c r="B225" s="65" t="str">
        <x:v>chicory</x:v>
      </x:c>
      <x:c r="C225" s="65" t="str">
        <x:v>Cicoria</x:v>
      </x:c>
      <x:c r="D225" s="65" t="str">
        <x:v>Chicory</x:v>
      </x:c>
      <x:c r="E225" s="65" t="str">
        <x:v>fennel</x:v>
      </x:c>
      <x:c r="F225" s="65" t="str">
        <x:v>Finocchio</x:v>
      </x:c>
      <x:c r="G225" s="65" t="str">
        <x:v>Fennel</x:v>
      </x:c>
      <x:c r="H225" s="65" t="str">
        <x:v>B</x:v>
      </x:c>
      <x:c r="I225" s="65" t="str">
        <x:v>Favorevole</x:v>
      </x:c>
      <x:c r="J225" s="65" t="str">
        <x:v>Simmetrica nella matrice</x:v>
      </x:c>
      <x:c r="K225" s="65" t="str">
        <x:v>Orto Mio; possibile presenza anche nel dataset GitHub/Wikipedia</x:v>
      </x:c>
      <x:c r="L225" s="65" t="str">
        <x:v>Non classificata scientificamente nel file</x:v>
      </x:c>
      <x:c r="M225" s="65" t="str">
        <x:v>Preferenza agronomica; non vincolo rigido</x:v>
      </x:c>
      <x:c r="N225" s="65" t="str">
        <x:v>La matrice non conserva la direzione originaria Helps/Helped by del dataset GitHub.</x:v>
      </x:c>
    </x:row>
    <x:row r="226" ht="15" hidden="0" customHeight="1">
      <x:c r="A226" s="65" t="str">
        <x:v>chicory__corn_salad</x:v>
      </x:c>
      <x:c r="B226" s="65" t="str">
        <x:v>chicory</x:v>
      </x:c>
      <x:c r="C226" s="65" t="str">
        <x:v>Cicoria</x:v>
      </x:c>
      <x:c r="D226" s="65" t="str">
        <x:v>Chicory</x:v>
      </x:c>
      <x:c r="E226" s="65" t="str">
        <x:v>corn_salad</x:v>
      </x:c>
      <x:c r="F226" s="65" t="str">
        <x:v>Valeriana</x:v>
      </x:c>
      <x:c r="G226" s="65" t="str">
        <x:v>Corn salad</x:v>
      </x:c>
      <x:c r="H226" s="65" t="str">
        <x:v>B</x:v>
      </x:c>
      <x:c r="I226" s="65" t="str">
        <x:v>Favorevole</x:v>
      </x:c>
      <x:c r="J226" s="65" t="str">
        <x:v>Simmetrica nella matrice</x:v>
      </x:c>
      <x:c r="K226" s="65" t="str">
        <x:v>Orto Mio; possibile presenza anche nel dataset GitHub/Wikipedia</x:v>
      </x:c>
      <x:c r="L226" s="65" t="str">
        <x:v>Non classificata scientificamente nel file</x:v>
      </x:c>
      <x:c r="M226" s="65" t="str">
        <x:v>Preferenza agronomica; non vincolo rigido</x:v>
      </x:c>
      <x:c r="N226" s="65" t="str">
        <x:v>La matrice non conserva la direzione originaria Helps/Helped by del dataset GitHub.</x:v>
      </x:c>
    </x:row>
    <x:row r="227" ht="15" hidden="0" customHeight="1">
      <x:c r="A227" s="65" t="str">
        <x:v>fennel__melon</x:v>
      </x:c>
      <x:c r="B227" s="65" t="str">
        <x:v>fennel</x:v>
      </x:c>
      <x:c r="C227" s="65" t="str">
        <x:v>Finocchio</x:v>
      </x:c>
      <x:c r="D227" s="65" t="str">
        <x:v>Fennel</x:v>
      </x:c>
      <x:c r="E227" s="65" t="str">
        <x:v>melon</x:v>
      </x:c>
      <x:c r="F227" s="65" t="str">
        <x:v>Melone</x:v>
      </x:c>
      <x:c r="G227" s="65" t="str">
        <x:v>Melon</x:v>
      </x:c>
      <x:c r="H227" s="65" t="str">
        <x:v>B</x:v>
      </x:c>
      <x:c r="I227" s="65" t="str">
        <x:v>Favorevole</x:v>
      </x:c>
      <x:c r="J227" s="65" t="str">
        <x:v>Simmetrica nella matrice</x:v>
      </x:c>
      <x:c r="K227" s="65" t="str">
        <x:v>Orto Mio; possibile presenza anche nel dataset GitHub/Wikipedia</x:v>
      </x:c>
      <x:c r="L227" s="65" t="str">
        <x:v>Non classificata scientificamente nel file</x:v>
      </x:c>
      <x:c r="M227" s="65" t="str">
        <x:v>Preferenza agronomica; non vincolo rigido</x:v>
      </x:c>
      <x:c r="N227" s="65" t="str">
        <x:v>La matrice non conserva la direzione originaria Helps/Helped by del dataset GitHub.</x:v>
      </x:c>
    </x:row>
    <x:row r="228" ht="15" hidden="0" customHeight="1">
      <x:c r="A228" s="65" t="str">
        <x:v>strawberry__parsley</x:v>
      </x:c>
      <x:c r="B228" s="65" t="str">
        <x:v>strawberry</x:v>
      </x:c>
      <x:c r="C228" s="65" t="str">
        <x:v>Fragola</x:v>
      </x:c>
      <x:c r="D228" s="65" t="str">
        <x:v>Strawberry</x:v>
      </x:c>
      <x:c r="E228" s="65" t="str">
        <x:v>parsley</x:v>
      </x:c>
      <x:c r="F228" s="65" t="str">
        <x:v>Prezzemolo</x:v>
      </x:c>
      <x:c r="G228" s="65" t="str">
        <x:v>Parsley</x:v>
      </x:c>
      <x:c r="H228" s="65" t="str">
        <x:v>B</x:v>
      </x:c>
      <x:c r="I228" s="65" t="str">
        <x:v>Favorevole</x:v>
      </x:c>
      <x:c r="J228" s="65" t="str">
        <x:v>Simmetrica nella matrice</x:v>
      </x:c>
      <x:c r="K228" s="65" t="str">
        <x:v>Orto Mio; possibile presenza anche nel dataset GitHub/Wikipedia</x:v>
      </x:c>
      <x:c r="L228" s="65" t="str">
        <x:v>Non classificata scientificamente nel file</x:v>
      </x:c>
      <x:c r="M228" s="65" t="str">
        <x:v>Preferenza agronomica; non vincolo rigido</x:v>
      </x:c>
      <x:c r="N228" s="65" t="str">
        <x:v>La matrice non conserva la direzione originaria Helps/Helped by del dataset GitHub.</x:v>
      </x:c>
    </x:row>
  </x:sheetData>
  <x:mergeCells>
    <x:mergeCell ref="A1:N1"/>
    <x:mergeCell ref="A2:N2"/>
  </x:mergeCells>
  <x:conditionalFormatting sqref="H5:H228">
    <x:cfRule type="expression" dxfId="4" priority="1">
      <x:formula>H5="B"</x:formula>
    </x:cfRule>
    <x:cfRule type="expression" dxfId="5" priority="2">
      <x:formula>H5="C"</x:formula>
    </x:cfRule>
    <x:cfRule type="expression" dxfId="6" priority="3">
      <x:formula>H5="M"</x:formula>
    </x:cfRule>
  </x:conditionalFormatting>
  <x:pageMargins left="0.7" right="0.7" top="0.75" bottom="0.75" header="0.3" footer="0.3"/>
  <x:tableParts count="1">
    <x:tablePart xmlns:r="http://schemas.openxmlformats.org/officeDocument/2006/relationships" r:id="R2f83caa1ab0d4ebb"/>
  </x:tableParts>
</x:worksheet>
</file>

<file path=xl/worksheets/sheet8.xml><?xml version="1.0" encoding="utf-8"?>
<x:worksheet xmlns:x="http://schemas.openxmlformats.org/spreadsheetml/2006/main">
  <x:sheetFormatPr defaultRowHeight="15"/>
  <x:cols>
    <x:col min="1" max="1" width="25" hidden="0" customWidth="1"/>
    <x:col min="2" max="2" width="27" hidden="0" customWidth="1"/>
    <x:col min="3" max="3" width="24" hidden="0" customWidth="1"/>
    <x:col min="4" max="4" width="24" hidden="0" customWidth="1"/>
    <x:col min="5" max="5" width="12" hidden="0" customWidth="1"/>
    <x:col min="6" max="6" width="32" hidden="0" customWidth="1"/>
    <x:col min="7" max="7" width="32" hidden="0" customWidth="1"/>
    <x:col min="8" max="8" width="13" hidden="0" customWidth="1"/>
    <x:col min="9" max="9" width="16" hidden="0" customWidth="1"/>
    <x:col min="10" max="10" width="15" hidden="0" customWidth="1"/>
    <x:col min="11" max="11" width="15" hidden="0" customWidth="1"/>
    <x:col min="12" max="12" width="20" hidden="0" customWidth="1"/>
    <x:col min="13" max="13" width="11" hidden="0" customWidth="1"/>
    <x:col min="14" max="14" width="20" hidden="0" customWidth="1"/>
    <x:col min="15" max="15" width="22" hidden="0" customWidth="1"/>
    <x:col min="16" max="16" width="24" hidden="0" customWidth="1"/>
    <x:col min="17" max="17" width="50" hidden="0" customWidth="1"/>
    <x:col min="18" max="18" width="54" hidden="0" customWidth="1"/>
    <x:col min="19" max="19" width="54" hidden="0" customWidth="1"/>
    <x:col min="20" max="20" width="18" hidden="0" customWidth="1"/>
  </x:cols>
  <x:sheetData>
    <x:row r="1" ht="18" hidden="0" customHeight="1">
      <x:c r="A1" s="42" t="str">
        <x:v>Specie, rotazioni e cura</x:v>
      </x:c>
      <x:c r="B1" s="42"/>
      <x:c r="C1" s="42"/>
      <x:c r="D1" s="42"/>
      <x:c r="E1" s="42"/>
      <x:c r="F1" s="42"/>
      <x:c r="G1" s="42"/>
      <x:c r="H1" s="42"/>
      <x:c r="I1" s="42"/>
      <x:c r="J1" s="42"/>
      <x:c r="K1" s="42"/>
      <x:c r="L1" s="42"/>
      <x:c r="M1" s="42"/>
      <x:c r="N1" s="42"/>
      <x:c r="O1" s="42"/>
      <x:c r="P1" s="42"/>
      <x:c r="Q1" s="42"/>
      <x:c r="R1" s="42"/>
      <x:c r="S1" s="42"/>
      <x:c r="T1" s="42"/>
    </x:row>
    <x:row r="2" ht="15" hidden="0" customHeight="1">
      <x:c r="A2" s="49" t="str">
        <x:v>Le prime 17 colonne derivano dalla Scheda coltivazione Orto Mio. Le colonne Modalità impianto app e relativa origine sono regole operative separate dalla fonte.</x:v>
      </x:c>
      <x:c r="B2" s="49"/>
      <x:c r="C2" s="49"/>
      <x:c r="D2" s="49"/>
      <x:c r="E2" s="49"/>
      <x:c r="F2" s="49"/>
      <x:c r="G2" s="49"/>
      <x:c r="H2" s="49"/>
      <x:c r="I2" s="49"/>
      <x:c r="J2" s="49"/>
      <x:c r="K2" s="49"/>
      <x:c r="L2" s="49"/>
      <x:c r="M2" s="49"/>
      <x:c r="N2" s="49"/>
      <x:c r="O2" s="49"/>
      <x:c r="P2" s="49"/>
      <x:c r="Q2" s="49"/>
      <x:c r="R2" s="49"/>
      <x:c r="S2" s="49"/>
      <x:c r="T2" s="49"/>
    </x:row>
    <x:row r="3"/>
    <x:row r="4" ht="15" hidden="0" customHeight="1">
      <x:c r="A4" s="58" t="str">
        <x:v>Specie_ID</x:v>
      </x:c>
      <x:c r="B4" s="58" t="str">
        <x:v>Specie IT</x:v>
      </x:c>
      <x:c r="C4" s="58" t="str">
        <x:v>Entita_ID</x:v>
      </x:c>
      <x:c r="D4" s="58" t="str">
        <x:v>Canonico EN</x:v>
      </x:c>
      <x:c r="E4" s="58" t="str">
        <x:v>Famiglia</x:v>
      </x:c>
      <x:c r="F4" s="58" t="str">
        <x:v>Non trapiantare dopo</x:v>
      </x:c>
      <x:c r="G4" s="58" t="str">
        <x:v>Favorevole trapianto dopo</x:v>
      </x:c>
      <x:c r="H4" s="58" t="str">
        <x:v>Anni ritorno</x:v>
      </x:c>
      <x:c r="I4" s="58" t="str">
        <x:v>Tollera mezz'ombra</x:v>
      </x:c>
      <x:c r="J4" s="58" t="str">
        <x:v>Distanza file cm</x:v>
      </x:c>
      <x:c r="K4" s="58" t="str">
        <x:v>Distanza fila cm</x:v>
      </x:c>
      <x:c r="L4" s="58" t="str">
        <x:v>Concimazione organica</x:v>
      </x:c>
      <x:c r="M4" s="58" t="str">
        <x:v>In buca</x:v>
      </x:c>
      <x:c r="N4" s="58" t="str">
        <x:v>Mensile dopo trapianto</x:v>
      </x:c>
      <x:c r="O4" s="58" t="str">
        <x:v>Riduzione prima raccolta</x:v>
      </x:c>
      <x:c r="P4" s="58" t="str">
        <x:v>Sospensione prima raccolta</x:v>
      </x:c>
      <x:c r="Q4" s="58" t="str">
        <x:v>Irrigazione</x:v>
      </x:c>
      <x:c r="R4" s="58" t="str">
        <x:v>Modalità impianto app</x:v>
      </x:c>
      <x:c r="S4" s="58" t="str">
        <x:v>Origine modalità</x:v>
      </x:c>
      <x:c r="T4" s="58" t="str">
        <x:v>Fonte</x:v>
      </x:c>
    </x:row>
    <x:row r="5" ht="15" hidden="0" customHeight="1">
      <x:c r="A5" s="65" t="str">
        <x:v>aglio</x:v>
      </x:c>
      <x:c r="B5" s="65" t="str">
        <x:v>Aglio</x:v>
      </x:c>
      <x:c r="C5" s="65" t="str">
        <x:v>alliums</x:v>
      </x:c>
      <x:c r="D5" s="65" t="str">
        <x:v>Alliums</x:v>
      </x:c>
      <x:c r="E5" s="65" t="str">
        <x:v>LIL</x:v>
      </x:c>
      <x:c r="F5" s="65" t="str">
        <x:v>Patata, Bietola</x:v>
      </x:c>
      <x:c r="G5" s="65" t="str">
        <x:v>Composite</x:v>
      </x:c>
      <x:c r="H5" s="65" t="n">
        <x:v>4</x:v>
      </x:c>
      <x:c r="I5" s="65" t="str">
        <x:v>Sì</x:v>
      </x:c>
      <x:c r="J5" s="65" t="n">
        <x:v>30</x:v>
      </x:c>
      <x:c r="K5" s="65" t="n">
        <x:v>15</x:v>
      </x:c>
      <x:c r="L5" s="65" t="str">
        <x:v>Media</x:v>
      </x:c>
      <x:c r="M5" s="71" t="b">
        <x:v>0</x:v>
      </x:c>
      <x:c r="N5" s="71" t="b">
        <x:v>0</x:v>
      </x:c>
      <x:c r="O5" s="71" t="b">
        <x:v>0</x:v>
      </x:c>
      <x:c r="P5" s="71" t="b">
        <x:v>1</x:v>
      </x:c>
      <x:c r="Q5" s="65" t="str">
        <x:v>Al trapianto e poi settimanalmente, solo in caso di siccità</x:v>
      </x:c>
      <x:c r="R5" s="65" t="str">
        <x:v>Piante/cespi individuali</x:v>
      </x:c>
      <x:c r="S5" s="65" t="str">
        <x:v>Regola applicativa dell'app; la modalità di impianto non è specificata nella fonte.</x:v>
      </x:c>
      <x:c r="T5" s="65" t="str">
        <x:v>Orto Mio</x:v>
      </x:c>
    </x:row>
    <x:row r="6" ht="15" hidden="0" customHeight="1">
      <x:c r="A6" s="65" t="str">
        <x:v>anguria</x:v>
      </x:c>
      <x:c r="B6" s="65" t="str">
        <x:v>Anguria</x:v>
      </x:c>
      <x:c r="C6" s="65" t="str">
        <x:v>watermelon</x:v>
      </x:c>
      <x:c r="D6" s="65" t="str">
        <x:v>Watermelon</x:v>
      </x:c>
      <x:c r="E6" s="65" t="str">
        <x:v>CUC</x:v>
      </x:c>
      <x:c r="F6" s="65" t="str">
        <x:v>Cucurbitacee</x:v>
      </x:c>
      <x:c r="G6" s="65" t="str">
        <x:v>Legumi, Composite</x:v>
      </x:c>
      <x:c r="H6" s="65" t="n">
        <x:v>4</x:v>
      </x:c>
      <x:c r="I6" s="65" t="str">
        <x:v>No</x:v>
      </x:c>
      <x:c r="J6" s="65" t="n">
        <x:v>200</x:v>
      </x:c>
      <x:c r="K6" s="65" t="n">
        <x:v>100</x:v>
      </x:c>
      <x:c r="L6" s="65" t="str">
        <x:v>Abbondante</x:v>
      </x:c>
      <x:c r="M6" s="71" t="b">
        <x:v>1</x:v>
      </x:c>
      <x:c r="N6" s="71" t="b">
        <x:v>1</x:v>
      </x:c>
      <x:c r="O6" s="71" t="b">
        <x:v>0</x:v>
      </x:c>
      <x:c r="P6" s="71" t="b">
        <x:v>1</x:v>
      </x:c>
      <x:c r="Q6" s="65" t="str">
        <x:v>Abbondare a inizio allegagione e ingrossamento dei frutti</x:v>
      </x:c>
      <x:c r="R6" s="65" t="str">
        <x:v>Piante/cespi individuali</x:v>
      </x:c>
      <x:c r="S6" s="65" t="str">
        <x:v>Regola applicativa dell'app; la modalità di impianto non è specificata nella fonte.</x:v>
      </x:c>
      <x:c r="T6" s="65" t="str">
        <x:v>Orto Mio</x:v>
      </x:c>
    </x:row>
    <x:row r="7" ht="15" hidden="0" customHeight="1">
      <x:c r="A7" s="65" t="str">
        <x:v>asparago</x:v>
      </x:c>
      <x:c r="B7" s="65" t="str">
        <x:v>Asparago</x:v>
      </x:c>
      <x:c r="C7" s="65" t="str">
        <x:v>asparagus</x:v>
      </x:c>
      <x:c r="D7" s="65" t="str">
        <x:v>Asparagus</x:v>
      </x:c>
      <x:c r="E7" s="65" t="str">
        <x:v>LIL</x:v>
      </x:c>
      <x:c r="F7" s="65" t="str">
        <x:v>Patata, Carota, Asparago</x:v>
      </x:c>
      <x:c r="G7" s="65" t="str">
        <x:v>Mais, Fragola</x:v>
      </x:c>
      <x:c r="H7" s="65" t="n">
        <x:v>7</x:v>
      </x:c>
      <x:c r="I7" s="65" t="str">
        <x:v>Sì</x:v>
      </x:c>
      <x:c r="J7" s="65" t="n">
        <x:v>100</x:v>
      </x:c>
      <x:c r="K7" s="65" t="n">
        <x:v>30</x:v>
      </x:c>
      <x:c r="L7" s="65" t="str">
        <x:v>Abbondante</x:v>
      </x:c>
      <x:c r="M7" s="71" t="b">
        <x:v>1</x:v>
      </x:c>
      <x:c r="N7" s="71" t="b">
        <x:v>0</x:v>
      </x:c>
      <x:c r="O7" s="71" t="b">
        <x:v>0</x:v>
      </x:c>
      <x:c r="P7" s="71" t="b">
        <x:v>0</x:v>
      </x:c>
      <x:c r="Q7" s="65" t="str">
        <x:v>Settimanalmente nei periodi asciutti</x:v>
      </x:c>
      <x:c r="R7" s="65" t="str">
        <x:v>Piante/cespi individuali</x:v>
      </x:c>
      <x:c r="S7" s="65" t="str">
        <x:v>Regola applicativa dell'app; la modalità di impianto non è specificata nella fonte.</x:v>
      </x:c>
      <x:c r="T7" s="65" t="str">
        <x:v>Orto Mio</x:v>
      </x:c>
    </x:row>
    <x:row r="8" ht="15" hidden="0" customHeight="1">
      <x:c r="A8" s="65" t="str">
        <x:v>basilico</x:v>
      </x:c>
      <x:c r="B8" s="65" t="str">
        <x:v>Basilico</x:v>
      </x:c>
      <x:c r="C8" s="65" t="str">
        <x:v>basil</x:v>
      </x:c>
      <x:c r="D8" s="65" t="str">
        <x:v>Basil</x:v>
      </x:c>
      <x:c r="E8" s="65" t="str">
        <x:v>LAB</x:v>
      </x:c>
      <x:c r="F8" s="65" t="str">
        <x:v>Labiate</x:v>
      </x:c>
      <x:c r="G8" s="65" t="str">
        <x:v>Solanacee</x:v>
      </x:c>
      <x:c r="H8" s="65" t="n">
        <x:v>2</x:v>
      </x:c>
      <x:c r="I8" s="65" t="str">
        <x:v>Sì</x:v>
      </x:c>
      <x:c r="J8" s="65" t="n">
        <x:v>30</x:v>
      </x:c>
      <x:c r="K8" s="65" t="n">
        <x:v>20</x:v>
      </x:c>
      <x:c r="L8" s="65" t="str">
        <x:v>Media</x:v>
      </x:c>
      <x:c r="M8" s="71" t="b">
        <x:v>0</x:v>
      </x:c>
      <x:c r="N8" s="71" t="b">
        <x:v>0</x:v>
      </x:c>
      <x:c r="O8" s="71" t="b">
        <x:v>1</x:v>
      </x:c>
      <x:c r="P8" s="71" t="b">
        <x:v>0</x:v>
      </x:c>
      <x:c r="Q8" s="65" t="str">
        <x:v>Frequente senza bagnare le foglie</x:v>
      </x:c>
      <x:c r="R8" s="65" t="str">
        <x:v>Piante/cespi individuali</x:v>
      </x:c>
      <x:c r="S8" s="65" t="str">
        <x:v>Regola applicativa dell'app; la modalità di impianto non è specificata nella fonte.</x:v>
      </x:c>
      <x:c r="T8" s="65" t="str">
        <x:v>Orto Mio</x:v>
      </x:c>
    </x:row>
    <x:row r="9" ht="15" hidden="0" customHeight="1">
      <x:c r="A9" s="65" t="str">
        <x:v>bietola_da_coste</x:v>
      </x:c>
      <x:c r="B9" s="65" t="str">
        <x:v>Bietola da coste</x:v>
      </x:c>
      <x:c r="C9" s="65" t="str">
        <x:v>chard</x:v>
      </x:c>
      <x:c r="D9" s="65" t="str">
        <x:v>Chard</x:v>
      </x:c>
      <x:c r="E9" s="65" t="str">
        <x:v>CHE</x:v>
      </x:c>
      <x:c r="F9" s="65" t="str">
        <x:v>Spinacio, Bietole</x:v>
      </x:c>
      <x:c r="G9" s="65" t="str">
        <x:v>Cipolla, Fagiolo</x:v>
      </x:c>
      <x:c r="H9" s="65" t="n">
        <x:v>3</x:v>
      </x:c>
      <x:c r="I9" s="65" t="str">
        <x:v>Sì</x:v>
      </x:c>
      <x:c r="J9" s="65" t="n">
        <x:v>30</x:v>
      </x:c>
      <x:c r="K9" s="65" t="n">
        <x:v>25</x:v>
      </x:c>
      <x:c r="L9" s="65" t="str">
        <x:v>Media</x:v>
      </x:c>
      <x:c r="M9" s="71" t="b">
        <x:v>0</x:v>
      </x:c>
      <x:c r="N9" s="71" t="b">
        <x:v>0</x:v>
      </x:c>
      <x:c r="O9" s="71" t="b">
        <x:v>0</x:v>
      </x:c>
      <x:c r="P9" s="71" t="b">
        <x:v>0</x:v>
      </x:c>
      <x:c r="Q9" s="65" t="str">
        <x:v>Frequente, senza ristagni</x:v>
      </x:c>
      <x:c r="R9" s="65" t="str">
        <x:v>Piante/cespi individuali</x:v>
      </x:c>
      <x:c r="S9" s="65" t="str">
        <x:v>Regola applicativa dell'app; la modalità di impianto non è specificata nella fonte.</x:v>
      </x:c>
      <x:c r="T9" s="65" t="str">
        <x:v>Orto Mio</x:v>
      </x:c>
    </x:row>
    <x:row r="10" ht="15" hidden="0" customHeight="1">
      <x:c r="A10" s="65" t="str">
        <x:v>bietoline_da_taglio</x:v>
      </x:c>
      <x:c r="B10" s="65" t="str">
        <x:v>Bietoline da taglio</x:v>
      </x:c>
      <x:c r="C10" s="65" t="str">
        <x:v>chard</x:v>
      </x:c>
      <x:c r="D10" s="65" t="str">
        <x:v>Chard</x:v>
      </x:c>
      <x:c r="E10" s="65" t="str">
        <x:v>CHE</x:v>
      </x:c>
      <x:c r="F10" s="65" t="str">
        <x:v>Spinacio, Bietole</x:v>
      </x:c>
      <x:c r="G10" s="65" t="str">
        <x:v>Cipolla, Fagiolo</x:v>
      </x:c>
      <x:c r="H10" s="65" t="n">
        <x:v>3</x:v>
      </x:c>
      <x:c r="I10" s="65" t="str">
        <x:v>Sì</x:v>
      </x:c>
      <x:c r="J10" s="65" t="n">
        <x:v>30</x:v>
      </x:c>
      <x:c r="K10" s="65" t="n">
        <x:v>10</x:v>
      </x:c>
      <x:c r="L10" s="65" t="str">
        <x:v>Media</x:v>
      </x:c>
      <x:c r="M10" s="71" t="b">
        <x:v>0</x:v>
      </x:c>
      <x:c r="N10" s="71" t="b">
        <x:v>1</x:v>
      </x:c>
      <x:c r="O10" s="71" t="b">
        <x:v>0</x:v>
      </x:c>
      <x:c r="P10" s="71" t="b">
        <x:v>0</x:v>
      </x:c>
      <x:c r="Q10" s="65" t="str">
        <x:v>Frequente, senza ristagni</x:v>
      </x:c>
      <x:c r="R10" s="65" t="str">
        <x:v>Semina in file/fascia; non rappresentare ogni piantina con un'icona</x:v>
      </x:c>
      <x:c r="S10" s="65" t="str">
        <x:v>Regola applicativa dell'app; la modalità di impianto non è specificata nella fonte.</x:v>
      </x:c>
      <x:c r="T10" s="65" t="str">
        <x:v>Orto Mio</x:v>
      </x:c>
    </x:row>
    <x:row r="11" ht="15" hidden="0" customHeight="1">
      <x:c r="A11" s="65" t="str">
        <x:v>bietola_da_radice</x:v>
      </x:c>
      <x:c r="B11" s="65" t="str">
        <x:v>Bietola da radice</x:v>
      </x:c>
      <x:c r="C11" s="65" t="str">
        <x:v>chard</x:v>
      </x:c>
      <x:c r="D11" s="65" t="str">
        <x:v>Chard</x:v>
      </x:c>
      <x:c r="E11" s="65" t="str">
        <x:v>CHE</x:v>
      </x:c>
      <x:c r="F11" s="65" t="str">
        <x:v>Spinacio, Bietole</x:v>
      </x:c>
      <x:c r="G11" s="65" t="str">
        <x:v>Cipolla, Fagiolo</x:v>
      </x:c>
      <x:c r="H11" s="65" t="n">
        <x:v>3</x:v>
      </x:c>
      <x:c r="I11" s="65" t="str">
        <x:v>Sì</x:v>
      </x:c>
      <x:c r="J11" s="65" t="n">
        <x:v>30</x:v>
      </x:c>
      <x:c r="K11" s="65" t="n">
        <x:v>20</x:v>
      </x:c>
      <x:c r="L11" s="65" t="str">
        <x:v>Media</x:v>
      </x:c>
      <x:c r="M11" s="71" t="b">
        <x:v>0</x:v>
      </x:c>
      <x:c r="N11" s="71" t="b">
        <x:v>0</x:v>
      </x:c>
      <x:c r="O11" s="71" t="b">
        <x:v>1</x:v>
      </x:c>
      <x:c r="P11" s="71" t="b">
        <x:v>0</x:v>
      </x:c>
      <x:c r="Q11" s="65" t="str">
        <x:v>Frequente, senza ristagni, ridurre prima della raccolta</x:v>
      </x:c>
      <x:c r="R11" s="65" t="str">
        <x:v>Piante/cespi individuali</x:v>
      </x:c>
      <x:c r="S11" s="65" t="str">
        <x:v>Regola applicativa dell'app; la modalità di impianto non è specificata nella fonte.</x:v>
      </x:c>
      <x:c r="T11" s="65" t="str">
        <x:v>Orto Mio</x:v>
      </x:c>
    </x:row>
    <x:row r="12" ht="15" hidden="0" customHeight="1">
      <x:c r="A12" s="65" t="str">
        <x:v>carciofo</x:v>
      </x:c>
      <x:c r="B12" s="65" t="str">
        <x:v>Carciofo</x:v>
      </x:c>
      <x:c r="C12" s="65" t="str">
        <x:v>artichoke</x:v>
      </x:c>
      <x:c r="D12" s="65" t="str">
        <x:v>Artichoke</x:v>
      </x:c>
      <x:c r="E12" s="65" t="str">
        <x:v>COM</x:v>
      </x:c>
      <x:c r="F12" s="65" t="str">
        <x:v>Cardo, Carciofo</x:v>
      </x:c>
      <x:c r="G12" s="65" t="str">
        <x:v>Solanacee, Bietola</x:v>
      </x:c>
      <x:c r="H12" s="65" t="n">
        <x:v>5</x:v>
      </x:c>
      <x:c r="I12" s="65" t="str">
        <x:v>No</x:v>
      </x:c>
      <x:c r="J12" s="65" t="n">
        <x:v>100</x:v>
      </x:c>
      <x:c r="K12" s="65" t="n">
        <x:v>100</x:v>
      </x:c>
      <x:c r="L12" s="65" t="str">
        <x:v>Abbondante</x:v>
      </x:c>
      <x:c r="M12" s="71" t="b">
        <x:v>1</x:v>
      </x:c>
      <x:c r="N12" s="71" t="b">
        <x:v>0</x:v>
      </x:c>
      <x:c r="O12" s="71" t="b">
        <x:v>0</x:v>
      </x:c>
      <x:c r="P12" s="71" t="b">
        <x:v>0</x:v>
      </x:c>
      <x:c r="Q12" s="65" t="str">
        <x:v>Settimanalmente, in fase di produzione, in caso di siccità</x:v>
      </x:c>
      <x:c r="R12" s="65" t="str">
        <x:v>Piante/cespi individuali</x:v>
      </x:c>
      <x:c r="S12" s="65" t="str">
        <x:v>Regola applicativa dell'app; la modalità di impianto non è specificata nella fonte.</x:v>
      </x:c>
      <x:c r="T12" s="65" t="str">
        <x:v>Orto Mio</x:v>
      </x:c>
    </x:row>
    <x:row r="13" ht="15" hidden="0" customHeight="1">
      <x:c r="A13" s="65" t="str">
        <x:v>cardo</x:v>
      </x:c>
      <x:c r="B13" s="65" t="str">
        <x:v>Cardo</x:v>
      </x:c>
      <x:c r="C13" s="65" t="str">
        <x:v>cardoon</x:v>
      </x:c>
      <x:c r="D13" s="65" t="str">
        <x:v>Cardoon</x:v>
      </x:c>
      <x:c r="E13" s="65" t="str">
        <x:v>COM</x:v>
      </x:c>
      <x:c r="F13" s="65" t="str">
        <x:v>Cardo, Carciofo</x:v>
      </x:c>
      <x:c r="G13" s="65" t="str">
        <x:v>Solanacee, Bietola</x:v>
      </x:c>
      <x:c r="H13" s="65" t="n">
        <x:v>4</x:v>
      </x:c>
      <x:c r="I13" s="65" t="str">
        <x:v>No</x:v>
      </x:c>
      <x:c r="J13" s="65" t="n">
        <x:v>100</x:v>
      </x:c>
      <x:c r="K13" s="65" t="n">
        <x:v>100</x:v>
      </x:c>
      <x:c r="L13" s="65" t="str">
        <x:v>Abbondante</x:v>
      </x:c>
      <x:c r="M13" s="71" t="b">
        <x:v>1</x:v>
      </x:c>
      <x:c r="N13" s="71" t="b">
        <x:v>0</x:v>
      </x:c>
      <x:c r="O13" s="71" t="b">
        <x:v>0</x:v>
      </x:c>
      <x:c r="P13" s="71" t="b">
        <x:v>0</x:v>
      </x:c>
      <x:c r="Q13" s="65" t="str">
        <x:v>Frequenti evitando i ristagni nei periodi caldi e siccitosi</x:v>
      </x:c>
      <x:c r="R13" s="65" t="str">
        <x:v>Piante/cespi individuali</x:v>
      </x:c>
      <x:c r="S13" s="65" t="str">
        <x:v>Regola applicativa dell'app; la modalità di impianto non è specificata nella fonte.</x:v>
      </x:c>
      <x:c r="T13" s="65" t="str">
        <x:v>Orto Mio</x:v>
      </x:c>
    </x:row>
    <x:row r="14" ht="15" hidden="0" customHeight="1">
      <x:c r="A14" s="65" t="str">
        <x:v>carota</x:v>
      </x:c>
      <x:c r="B14" s="65" t="str">
        <x:v>Carota</x:v>
      </x:c>
      <x:c r="C14" s="65" t="str">
        <x:v>carrots</x:v>
      </x:c>
      <x:c r="D14" s="65" t="str">
        <x:v>Carrots</x:v>
      </x:c>
      <x:c r="E14" s="65" t="str">
        <x:v>OMB</x:v>
      </x:c>
      <x:c r="F14" s="65" t="str">
        <x:v>Ombrellifere, Bietola</x:v>
      </x:c>
      <x:c r="G14" s="65" t="str">
        <x:v>Liliacee, Patata</x:v>
      </x:c>
      <x:c r="H14" s="65" t="n">
        <x:v>3</x:v>
      </x:c>
      <x:c r="I14" s="65" t="str">
        <x:v>Sì</x:v>
      </x:c>
      <x:c r="J14" s="65" t="n">
        <x:v>25</x:v>
      </x:c>
      <x:c r="K14" s="65" t="n">
        <x:v>5</x:v>
      </x:c>
      <x:c r="L14" s="65" t="str">
        <x:v>Media</x:v>
      </x:c>
      <x:c r="M14" s="71" t="b">
        <x:v>0</x:v>
      </x:c>
      <x:c r="N14" s="71" t="b">
        <x:v>0</x:v>
      </x:c>
      <x:c r="O14" s="71" t="b">
        <x:v>1</x:v>
      </x:c>
      <x:c r="P14" s="71" t="b">
        <x:v>0</x:v>
      </x:c>
      <x:c r="Q14" s="65" t="str">
        <x:v>Settimanale in fase di ingrossamento, senza ristagni</x:v>
      </x:c>
      <x:c r="R14" s="65" t="str">
        <x:v>Piante/cespi individuali</x:v>
      </x:c>
      <x:c r="S14" s="65" t="str">
        <x:v>Regola applicativa dell'app; la modalità di impianto non è specificata nella fonte.</x:v>
      </x:c>
      <x:c r="T14" s="65" t="str">
        <x:v>Orto Mio</x:v>
      </x:c>
    </x:row>
    <x:row r="15" ht="15" hidden="0" customHeight="1">
      <x:c r="A15" s="65" t="str">
        <x:v>cavoli</x:v>
      </x:c>
      <x:c r="B15" s="65" t="str">
        <x:v>Cavoli</x:v>
      </x:c>
      <x:c r="C15" s="65" t="str">
        <x:v>cabbage</x:v>
      </x:c>
      <x:c r="D15" s="65" t="str">
        <x:v>Cabbage</x:v>
      </x:c>
      <x:c r="E15" s="65" t="str">
        <x:v>CRU</x:v>
      </x:c>
      <x:c r="F15" s="65" t="str">
        <x:v>Solanacee, Ombrellifere</x:v>
      </x:c>
      <x:c r="G15" s="65" t="str">
        <x:v>Finocchio, Sedano, Legumi</x:v>
      </x:c>
      <x:c r="H15" s="65" t="n">
        <x:v>2</x:v>
      </x:c>
      <x:c r="I15" s="65" t="str">
        <x:v>Sì</x:v>
      </x:c>
      <x:c r="J15" s="65" t="n">
        <x:v>50</x:v>
      </x:c>
      <x:c r="K15" s="65" t="n">
        <x:v>40</x:v>
      </x:c>
      <x:c r="L15" s="65" t="str">
        <x:v>Abbondante</x:v>
      </x:c>
      <x:c r="M15" s="71" t="b">
        <x:v>1</x:v>
      </x:c>
      <x:c r="N15" s="71" t="b">
        <x:v>1</x:v>
      </x:c>
      <x:c r="O15" s="71" t="b">
        <x:v>0</x:v>
      </x:c>
      <x:c r="P15" s="71" t="b">
        <x:v>1</x:v>
      </x:c>
      <x:c r="Q15" s="65" t="str">
        <x:v>Irrigazioni frequenti con volumi non eccessivi</x:v>
      </x:c>
      <x:c r="R15" s="65" t="str">
        <x:v>Piante/cespi individuali</x:v>
      </x:c>
      <x:c r="S15" s="65" t="str">
        <x:v>Regola applicativa dell'app; la modalità di impianto non è specificata nella fonte.</x:v>
      </x:c>
      <x:c r="T15" s="65" t="str">
        <x:v>Orto Mio</x:v>
      </x:c>
    </x:row>
    <x:row r="16" ht="15" hidden="0" customHeight="1">
      <x:c r="A16" s="65" t="str">
        <x:v>cavolo_rapa</x:v>
      </x:c>
      <x:c r="B16" s="65" t="str">
        <x:v>Cavolo rapa</x:v>
      </x:c>
      <x:c r="C16" s="65" t="str">
        <x:v>kohlrabi</x:v>
      </x:c>
      <x:c r="D16" s="65" t="str">
        <x:v>Kohlrabi</x:v>
      </x:c>
      <x:c r="E16" s="65" t="str">
        <x:v>CRU</x:v>
      </x:c>
      <x:c r="F16" s="65" t="str">
        <x:v>Solanacee, Ombrellifere</x:v>
      </x:c>
      <x:c r="G16" s="65" t="str">
        <x:v>Lattuga, Cipolla, Legumi</x:v>
      </x:c>
      <x:c r="H16" s="65" t="n">
        <x:v>2</x:v>
      </x:c>
      <x:c r="I16" s="65" t="str">
        <x:v>Sì</x:v>
      </x:c>
      <x:c r="J16" s="65" t="n">
        <x:v>40</x:v>
      </x:c>
      <x:c r="K16" s="65" t="n">
        <x:v>20</x:v>
      </x:c>
      <x:c r="L16" s="65" t="str">
        <x:v>Media</x:v>
      </x:c>
      <x:c r="M16" s="71" t="b">
        <x:v>0</x:v>
      </x:c>
      <x:c r="N16" s="71" t="b">
        <x:v>1</x:v>
      </x:c>
      <x:c r="O16" s="71" t="b">
        <x:v>0</x:v>
      </x:c>
      <x:c r="P16" s="71" t="b">
        <x:v>1</x:v>
      </x:c>
      <x:c r="Q16" s="65" t="str">
        <x:v>Irrigazioni frequenti con volumi non eccessivi</x:v>
      </x:c>
      <x:c r="R16" s="65" t="str">
        <x:v>Piante/cespi individuali</x:v>
      </x:c>
      <x:c r="S16" s="65" t="str">
        <x:v>Regola applicativa dell'app; la modalità di impianto non è specificata nella fonte.</x:v>
      </x:c>
      <x:c r="T16" s="65" t="str">
        <x:v>Orto Mio</x:v>
      </x:c>
    </x:row>
    <x:row r="17" ht="15" hidden="0" customHeight="1">
      <x:c r="A17" s="65" t="str">
        <x:v>cece</x:v>
      </x:c>
      <x:c r="B17" s="65" t="str">
        <x:v>Cece</x:v>
      </x:c>
      <x:c r="C17" s="65" t="str">
        <x:v>legumes</x:v>
      </x:c>
      <x:c r="D17" s="65" t="str">
        <x:v>Legumes</x:v>
      </x:c>
      <x:c r="E17" s="65" t="str">
        <x:v>LEG</x:v>
      </x:c>
      <x:c r="F17" s="65" t="str">
        <x:v>Leguminose</x:v>
      </x:c>
      <x:c r="G17" s="65"/>
      <x:c r="H17" s="65" t="n">
        <x:v>2</x:v>
      </x:c>
      <x:c r="I17" s="65" t="str">
        <x:v>No</x:v>
      </x:c>
      <x:c r="J17" s="65" t="n">
        <x:v>50</x:v>
      </x:c>
      <x:c r="K17" s="65" t="n">
        <x:v>10</x:v>
      </x:c>
      <x:c r="L17" s="65" t="str">
        <x:v>Scarsa</x:v>
      </x:c>
      <x:c r="M17" s="71" t="b">
        <x:v>0</x:v>
      </x:c>
      <x:c r="N17" s="71" t="b">
        <x:v>0</x:v>
      </x:c>
      <x:c r="O17" s="71" t="b">
        <x:v>0</x:v>
      </x:c>
      <x:c r="P17" s="71" t="b">
        <x:v>1</x:v>
      </x:c>
      <x:c r="Q17" s="65" t="str">
        <x:v>Resistente alla siccità</x:v>
      </x:c>
      <x:c r="R17" s="65" t="str">
        <x:v>Piante/cespi individuali</x:v>
      </x:c>
      <x:c r="S17" s="65" t="str">
        <x:v>Regola applicativa dell'app; la modalità di impianto non è specificata nella fonte.</x:v>
      </x:c>
      <x:c r="T17" s="65" t="str">
        <x:v>Orto Mio</x:v>
      </x:c>
    </x:row>
    <x:row r="18" ht="15" hidden="0" customHeight="1">
      <x:c r="A18" s="65" t="str">
        <x:v>cetriolo</x:v>
      </x:c>
      <x:c r="B18" s="65" t="str">
        <x:v>Cetriolo</x:v>
      </x:c>
      <x:c r="C18" s="65" t="str">
        <x:v>cucumber</x:v>
      </x:c>
      <x:c r="D18" s="65" t="str">
        <x:v>Cucumber</x:v>
      </x:c>
      <x:c r="E18" s="65" t="str">
        <x:v>CUC</x:v>
      </x:c>
      <x:c r="F18" s="65" t="str">
        <x:v>Cucurbitacee</x:v>
      </x:c>
      <x:c r="G18" s="65" t="str">
        <x:v>Legumi</x:v>
      </x:c>
      <x:c r="H18" s="65" t="n">
        <x:v>3</x:v>
      </x:c>
      <x:c r="I18" s="65"/>
      <x:c r="J18" s="65" t="n">
        <x:v>100</x:v>
      </x:c>
      <x:c r="K18" s="65" t="n">
        <x:v>40</x:v>
      </x:c>
      <x:c r="L18" s="65" t="str">
        <x:v>Abbondante</x:v>
      </x:c>
      <x:c r="M18" s="71" t="b">
        <x:v>1</x:v>
      </x:c>
      <x:c r="N18" s="71" t="b">
        <x:v>1</x:v>
      </x:c>
      <x:c r="O18" s="71" t="b">
        <x:v>0</x:v>
      </x:c>
      <x:c r="P18" s="71" t="b">
        <x:v>0</x:v>
      </x:c>
      <x:c r="Q18" s="65" t="str">
        <x:v>Irrigazioni frequenti con volumi non eccessivi</x:v>
      </x:c>
      <x:c r="R18" s="65" t="str">
        <x:v>Piante/cespi individuali</x:v>
      </x:c>
      <x:c r="S18" s="65" t="str">
        <x:v>Regola applicativa dell'app; la modalità di impianto non è specificata nella fonte.</x:v>
      </x:c>
      <x:c r="T18" s="65" t="str">
        <x:v>Orto Mio</x:v>
      </x:c>
    </x:row>
    <x:row r="19" ht="15" hidden="0" customHeight="1">
      <x:c r="A19" s="65" t="str">
        <x:v>cicorie_da_cespo</x:v>
      </x:c>
      <x:c r="B19" s="65" t="str">
        <x:v>Cicorie da cespo</x:v>
      </x:c>
      <x:c r="C19" s="65" t="str">
        <x:v>chicory</x:v>
      </x:c>
      <x:c r="D19" s="65" t="str">
        <x:v>Chicory</x:v>
      </x:c>
      <x:c r="E19" s="65" t="str">
        <x:v>COM</x:v>
      </x:c>
      <x:c r="F19" s="65" t="str">
        <x:v>Lattuga</x:v>
      </x:c>
      <x:c r="G19" s="65" t="str">
        <x:v>Porro, Pisello</x:v>
      </x:c>
      <x:c r="H19" s="65" t="n">
        <x:v>3</x:v>
      </x:c>
      <x:c r="I19" s="65" t="str">
        <x:v>Sì</x:v>
      </x:c>
      <x:c r="J19" s="65" t="n">
        <x:v>40</x:v>
      </x:c>
      <x:c r="K19" s="65" t="n">
        <x:v>30</x:v>
      </x:c>
      <x:c r="L19" s="65" t="str">
        <x:v>Media</x:v>
      </x:c>
      <x:c r="M19" s="71" t="b">
        <x:v>0</x:v>
      </x:c>
      <x:c r="N19" s="71" t="b">
        <x:v>0</x:v>
      </x:c>
      <x:c r="O19" s="71" t="b">
        <x:v>0</x:v>
      </x:c>
      <x:c r="P19" s="71" t="b">
        <x:v>1</x:v>
      </x:c>
      <x:c r="Q19" s="65" t="str">
        <x:v>Attendere sempre l'asciugatura del terreno</x:v>
      </x:c>
      <x:c r="R19" s="65" t="str">
        <x:v>Piante/cespi individuali</x:v>
      </x:c>
      <x:c r="S19" s="65" t="str">
        <x:v>Regola applicativa dell'app; la modalità di impianto non è specificata nella fonte.</x:v>
      </x:c>
      <x:c r="T19" s="65" t="str">
        <x:v>Orto Mio</x:v>
      </x:c>
    </x:row>
    <x:row r="20" ht="15" hidden="0" customHeight="1">
      <x:c r="A20" s="65" t="str">
        <x:v>cipolla</x:v>
      </x:c>
      <x:c r="B20" s="65" t="str">
        <x:v>Cipolla</x:v>
      </x:c>
      <x:c r="C20" s="65" t="str">
        <x:v>onion</x:v>
      </x:c>
      <x:c r="D20" s="65" t="str">
        <x:v>Onion</x:v>
      </x:c>
      <x:c r="E20" s="65" t="str">
        <x:v>LIL</x:v>
      </x:c>
      <x:c r="F20" s="65" t="str">
        <x:v>Cavolo, Bietola</x:v>
      </x:c>
      <x:c r="G20" s="65" t="str">
        <x:v>Cetriolo, Pomodoro</x:v>
      </x:c>
      <x:c r="H20" s="65" t="n">
        <x:v>3</x:v>
      </x:c>
      <x:c r="I20" s="65" t="str">
        <x:v>No</x:v>
      </x:c>
      <x:c r="J20" s="65" t="n">
        <x:v>30</x:v>
      </x:c>
      <x:c r="K20" s="65" t="n">
        <x:v>15</x:v>
      </x:c>
      <x:c r="L20" s="65" t="str">
        <x:v>Media</x:v>
      </x:c>
      <x:c r="M20" s="71" t="b">
        <x:v>0</x:v>
      </x:c>
      <x:c r="N20" s="71" t="b">
        <x:v>0</x:v>
      </x:c>
      <x:c r="O20" s="71" t="b">
        <x:v>0</x:v>
      </x:c>
      <x:c r="P20" s="71" t="b">
        <x:v>1</x:v>
      </x:c>
      <x:c r="Q20" s="65" t="str">
        <x:v>In caso di siccità settimanalmente in ingrossamento</x:v>
      </x:c>
      <x:c r="R20" s="65" t="str">
        <x:v>Piante/cespi individuali</x:v>
      </x:c>
      <x:c r="S20" s="65" t="str">
        <x:v>Regola applicativa dell'app; la modalità di impianto non è specificata nella fonte.</x:v>
      </x:c>
      <x:c r="T20" s="65" t="str">
        <x:v>Orto Mio</x:v>
      </x:c>
    </x:row>
    <x:row r="21" ht="15" hidden="0" customHeight="1">
      <x:c r="A21" s="65" t="str">
        <x:v>cipollotto</x:v>
      </x:c>
      <x:c r="B21" s="65" t="str">
        <x:v>Cipollotto</x:v>
      </x:c>
      <x:c r="C21" s="65" t="str">
        <x:v>onion</x:v>
      </x:c>
      <x:c r="D21" s="65" t="str">
        <x:v>Onion</x:v>
      </x:c>
      <x:c r="E21" s="65" t="str">
        <x:v>LIL</x:v>
      </x:c>
      <x:c r="F21" s="65" t="str">
        <x:v>Liliacee</x:v>
      </x:c>
      <x:c r="G21" s="65" t="str">
        <x:v>Patata, Fagiolo</x:v>
      </x:c>
      <x:c r="H21" s="65" t="n">
        <x:v>3</x:v>
      </x:c>
      <x:c r="I21" s="65" t="str">
        <x:v>Sì</x:v>
      </x:c>
      <x:c r="J21" s="65" t="n">
        <x:v>30</x:v>
      </x:c>
      <x:c r="K21" s="65" t="n">
        <x:v>5</x:v>
      </x:c>
      <x:c r="L21" s="65" t="str">
        <x:v>Media</x:v>
      </x:c>
      <x:c r="M21" s="71" t="b">
        <x:v>0</x:v>
      </x:c>
      <x:c r="N21" s="71" t="b">
        <x:v>0</x:v>
      </x:c>
      <x:c r="O21" s="71" t="b">
        <x:v>0</x:v>
      </x:c>
      <x:c r="P21" s="71" t="b">
        <x:v>1</x:v>
      </x:c>
      <x:c r="Q21" s="65" t="str">
        <x:v>Attendere sempre l'asciugatura del terreno</x:v>
      </x:c>
      <x:c r="R21" s="65" t="str">
        <x:v>Piante/cespi individuali</x:v>
      </x:c>
      <x:c r="S21" s="65" t="str">
        <x:v>Regola applicativa dell'app; la modalità di impianto non è specificata nella fonte.</x:v>
      </x:c>
      <x:c r="T21" s="65" t="str">
        <x:v>Orto Mio</x:v>
      </x:c>
    </x:row>
    <x:row r="22" ht="15" hidden="0" customHeight="1">
      <x:c r="A22" s="65" t="str">
        <x:v>indivia_riccia_e_scarola</x:v>
      </x:c>
      <x:c r="B22" s="65" t="str">
        <x:v>Indivia riccia e scarola</x:v>
      </x:c>
      <x:c r="C22" s="65" t="str">
        <x:v>endive</x:v>
      </x:c>
      <x:c r="D22" s="65" t="str">
        <x:v>Endive</x:v>
      </x:c>
      <x:c r="E22" s="65" t="str">
        <x:v>COM</x:v>
      </x:c>
      <x:c r="F22" s="65" t="str">
        <x:v>Lattuga, Cicoria</x:v>
      </x:c>
      <x:c r="G22" s="65" t="str">
        <x:v>Ravanello</x:v>
      </x:c>
      <x:c r="H22" s="65" t="n">
        <x:v>3</x:v>
      </x:c>
      <x:c r="I22" s="65" t="str">
        <x:v>Sì</x:v>
      </x:c>
      <x:c r="J22" s="65" t="n">
        <x:v>30</x:v>
      </x:c>
      <x:c r="K22" s="65" t="n">
        <x:v>20</x:v>
      </x:c>
      <x:c r="L22" s="65" t="str">
        <x:v>Media</x:v>
      </x:c>
      <x:c r="M22" s="71" t="b">
        <x:v>0</x:v>
      </x:c>
      <x:c r="N22" s="71" t="b">
        <x:v>0</x:v>
      </x:c>
      <x:c r="O22" s="71" t="b">
        <x:v>0</x:v>
      </x:c>
      <x:c r="P22" s="71" t="b">
        <x:v>1</x:v>
      </x:c>
      <x:c r="Q22" s="65" t="str">
        <x:v>Attendere sempre l'asciugatura del terreno</x:v>
      </x:c>
      <x:c r="R22" s="65" t="str">
        <x:v>Piante/cespi individuali</x:v>
      </x:c>
      <x:c r="S22" s="65" t="str">
        <x:v>Regola applicativa dell'app; la modalità di impianto non è specificata nella fonte.</x:v>
      </x:c>
      <x:c r="T22" s="65" t="str">
        <x:v>Orto Mio</x:v>
      </x:c>
    </x:row>
    <x:row r="23" ht="15" hidden="0" customHeight="1">
      <x:c r="A23" s="65" t="str">
        <x:v>fagiolo_e_fagiolino</x:v>
      </x:c>
      <x:c r="B23" s="65" t="str">
        <x:v>Fagiolo e fagiolino</x:v>
      </x:c>
      <x:c r="C23" s="65" t="str">
        <x:v>beans_bush</x:v>
      </x:c>
      <x:c r="D23" s="65" t="str">
        <x:v>Beans, bush</x:v>
      </x:c>
      <x:c r="E23" s="65" t="str">
        <x:v>LEG</x:v>
      </x:c>
      <x:c r="F23" s="65" t="str">
        <x:v>Cucurbitacee, Bietola</x:v>
      </x:c>
      <x:c r="G23" s="65" t="str">
        <x:v>Broccoli, Cavoli</x:v>
      </x:c>
      <x:c r="H23" s="65" t="n">
        <x:v>3</x:v>
      </x:c>
      <x:c r="I23" s="65"/>
      <x:c r="J23" s="65" t="n">
        <x:v>30</x:v>
      </x:c>
      <x:c r="K23" s="65" t="n">
        <x:v>10</x:v>
      </x:c>
      <x:c r="L23" s="65" t="str">
        <x:v>Scarsa</x:v>
      </x:c>
      <x:c r="M23" s="71" t="b">
        <x:v>0</x:v>
      </x:c>
      <x:c r="N23" s="71" t="b">
        <x:v>0</x:v>
      </x:c>
      <x:c r="O23" s="71" t="b">
        <x:v>0</x:v>
      </x:c>
      <x:c r="P23" s="71" t="b">
        <x:v>0</x:v>
      </x:c>
      <x:c r="Q23" s="65" t="str">
        <x:v>Irrigazioni scarse ma frequenti</x:v>
      </x:c>
      <x:c r="R23" s="65" t="str">
        <x:v>Piante/cespi individuali</x:v>
      </x:c>
      <x:c r="S23" s="65" t="str">
        <x:v>Regola applicativa dell'app; la modalità di impianto non è specificata nella fonte.</x:v>
      </x:c>
      <x:c r="T23" s="65" t="str">
        <x:v>Orto Mio</x:v>
      </x:c>
    </x:row>
    <x:row r="24" ht="15" hidden="0" customHeight="1">
      <x:c r="A24" s="65" t="str">
        <x:v>fava</x:v>
      </x:c>
      <x:c r="B24" s="65" t="str">
        <x:v>Fava</x:v>
      </x:c>
      <x:c r="C24" s="65" t="str">
        <x:v>beans_fava</x:v>
      </x:c>
      <x:c r="D24" s="65" t="str">
        <x:v>Beans, fava</x:v>
      </x:c>
      <x:c r="E24" s="65" t="str">
        <x:v>LEG</x:v>
      </x:c>
      <x:c r="F24" s="65" t="str">
        <x:v>Leguminose</x:v>
      </x:c>
      <x:c r="G24" s="65" t="str">
        <x:v>Broccoli, Cavoli</x:v>
      </x:c>
      <x:c r="H24" s="65" t="n">
        <x:v>2</x:v>
      </x:c>
      <x:c r="I24" s="65"/>
      <x:c r="J24" s="65" t="n">
        <x:v>50</x:v>
      </x:c>
      <x:c r="K24" s="65" t="n">
        <x:v>10</x:v>
      </x:c>
      <x:c r="L24" s="65" t="str">
        <x:v>Scarsa</x:v>
      </x:c>
      <x:c r="M24" s="71" t="b">
        <x:v>0</x:v>
      </x:c>
      <x:c r="N24" s="71" t="b">
        <x:v>0</x:v>
      </x:c>
      <x:c r="O24" s="71" t="b">
        <x:v>0</x:v>
      </x:c>
      <x:c r="P24" s="71" t="b">
        <x:v>0</x:v>
      </x:c>
      <x:c r="Q24" s="65" t="str">
        <x:v>Esigenze idriche limitate. Irrigare solo con siccità</x:v>
      </x:c>
      <x:c r="R24" s="65" t="str">
        <x:v>Piante/cespi individuali</x:v>
      </x:c>
      <x:c r="S24" s="65" t="str">
        <x:v>Regola applicativa dell'app; la modalità di impianto non è specificata nella fonte.</x:v>
      </x:c>
      <x:c r="T24" s="65" t="str">
        <x:v>Orto Mio</x:v>
      </x:c>
    </x:row>
    <x:row r="25" ht="15" hidden="0" customHeight="1">
      <x:c r="A25" s="65" t="str">
        <x:v>finocchio</x:v>
      </x:c>
      <x:c r="B25" s="65" t="str">
        <x:v>Finocchio</x:v>
      </x:c>
      <x:c r="C25" s="65" t="str">
        <x:v>fennel</x:v>
      </x:c>
      <x:c r="D25" s="65" t="str">
        <x:v>Fennel</x:v>
      </x:c>
      <x:c r="E25" s="65" t="str">
        <x:v>OMB</x:v>
      </x:c>
      <x:c r="F25" s="65" t="str">
        <x:v>Ombrellifere</x:v>
      </x:c>
      <x:c r="G25" s="65" t="str">
        <x:v>Legumi</x:v>
      </x:c>
      <x:c r="H25" s="65" t="n">
        <x:v>3</x:v>
      </x:c>
      <x:c r="I25" s="65"/>
      <x:c r="J25" s="65" t="n">
        <x:v>40</x:v>
      </x:c>
      <x:c r="K25" s="65" t="n">
        <x:v>25</x:v>
      </x:c>
      <x:c r="L25" s="65" t="str">
        <x:v>Abbondante</x:v>
      </x:c>
      <x:c r="M25" s="71" t="b">
        <x:v>0</x:v>
      </x:c>
      <x:c r="N25" s="71" t="b">
        <x:v>0</x:v>
      </x:c>
      <x:c r="O25" s="71" t="b">
        <x:v>0</x:v>
      </x:c>
      <x:c r="P25" s="71" t="b">
        <x:v>0</x:v>
      </x:c>
      <x:c r="Q25" s="65" t="str">
        <x:v>Irrigazioni frequenti evitando i ristagni</x:v>
      </x:c>
      <x:c r="R25" s="65" t="str">
        <x:v>Piante/cespi individuali</x:v>
      </x:c>
      <x:c r="S25" s="65" t="str">
        <x:v>Regola applicativa dell'app; la modalità di impianto non è specificata nella fonte.</x:v>
      </x:c>
      <x:c r="T25" s="65" t="str">
        <x:v>Orto Mio</x:v>
      </x:c>
    </x:row>
    <x:row r="26" ht="15" hidden="0" customHeight="1">
      <x:c r="A26" s="65" t="str">
        <x:v>fragola</x:v>
      </x:c>
      <x:c r="B26" s="65" t="str">
        <x:v>Fragola</x:v>
      </x:c>
      <x:c r="C26" s="65" t="str">
        <x:v>strawberry</x:v>
      </x:c>
      <x:c r="D26" s="65" t="str">
        <x:v>Strawberry</x:v>
      </x:c>
      <x:c r="E26" s="65" t="str">
        <x:v>ROS</x:v>
      </x:c>
      <x:c r="F26" s="65" t="str">
        <x:v>Rosacee</x:v>
      </x:c>
      <x:c r="G26" s="65" t="str">
        <x:v>Cavolo</x:v>
      </x:c>
      <x:c r="H26" s="65" t="n">
        <x:v>3</x:v>
      </x:c>
      <x:c r="I26" s="65" t="str">
        <x:v>Sì</x:v>
      </x:c>
      <x:c r="J26" s="65" t="n">
        <x:v>100</x:v>
      </x:c>
      <x:c r="K26" s="65" t="n">
        <x:v>30</x:v>
      </x:c>
      <x:c r="L26" s="65" t="str">
        <x:v>Media</x:v>
      </x:c>
      <x:c r="M26" s="71" t="b">
        <x:v>1</x:v>
      </x:c>
      <x:c r="N26" s="71" t="b">
        <x:v>0</x:v>
      </x:c>
      <x:c r="O26" s="71" t="b">
        <x:v>1</x:v>
      </x:c>
      <x:c r="P26" s="71" t="b">
        <x:v>0</x:v>
      </x:c>
      <x:c r="Q26" s="65" t="str">
        <x:v>Irrigazioni scarse ma frequenti</x:v>
      </x:c>
      <x:c r="R26" s="65" t="str">
        <x:v>Piante/cespi individuali</x:v>
      </x:c>
      <x:c r="S26" s="65" t="str">
        <x:v>Regola applicativa dell'app; la modalità di impianto non è specificata nella fonte.</x:v>
      </x:c>
      <x:c r="T26" s="65" t="str">
        <x:v>Orto Mio</x:v>
      </x:c>
    </x:row>
    <x:row r="27" ht="15" hidden="0" customHeight="1">
      <x:c r="A27" s="65" t="str">
        <x:v>lattuga</x:v>
      </x:c>
      <x:c r="B27" s="65" t="str">
        <x:v>Lattuga</x:v>
      </x:c>
      <x:c r="C27" s="65" t="str">
        <x:v>lettuce</x:v>
      </x:c>
      <x:c r="D27" s="65" t="str">
        <x:v>Lettuce</x:v>
      </x:c>
      <x:c r="E27" s="65" t="str">
        <x:v>COM</x:v>
      </x:c>
      <x:c r="F27" s="65" t="str">
        <x:v>Radicchio, Lattuga</x:v>
      </x:c>
      <x:c r="G27" s="65" t="str">
        <x:v>Spinacio, Porro</x:v>
      </x:c>
      <x:c r="H27" s="65" t="n">
        <x:v>2</x:v>
      </x:c>
      <x:c r="I27" s="65" t="str">
        <x:v>Sì</x:v>
      </x:c>
      <x:c r="J27" s="65" t="n">
        <x:v>40</x:v>
      </x:c>
      <x:c r="K27" s="65" t="n">
        <x:v>25</x:v>
      </x:c>
      <x:c r="L27" s="65" t="str">
        <x:v>Media</x:v>
      </x:c>
      <x:c r="M27" s="71" t="b">
        <x:v>1</x:v>
      </x:c>
      <x:c r="N27" s="71" t="b">
        <x:v>0</x:v>
      </x:c>
      <x:c r="O27" s="71" t="b">
        <x:v>0</x:v>
      </x:c>
      <x:c r="P27" s="71" t="b">
        <x:v>0</x:v>
      </x:c>
      <x:c r="Q27" s="65" t="str">
        <x:v>Irrigazioni frequenti evitando i ristagni</x:v>
      </x:c>
      <x:c r="R27" s="65" t="str">
        <x:v>Piante/cespi individuali</x:v>
      </x:c>
      <x:c r="S27" s="65" t="str">
        <x:v>Regola applicativa dell'app; la modalità di impianto non è specificata nella fonte.</x:v>
      </x:c>
      <x:c r="T27" s="65" t="str">
        <x:v>Orto Mio</x:v>
      </x:c>
    </x:row>
    <x:row r="28" ht="15" hidden="0" customHeight="1">
      <x:c r="A28" s="65" t="str">
        <x:v>lattughini_da_taglio</x:v>
      </x:c>
      <x:c r="B28" s="65" t="str">
        <x:v>Lattughini da taglio</x:v>
      </x:c>
      <x:c r="C28" s="65" t="str">
        <x:v>lettuce</x:v>
      </x:c>
      <x:c r="D28" s="65" t="str">
        <x:v>Lettuce</x:v>
      </x:c>
      <x:c r="E28" s="65" t="str">
        <x:v>COM</x:v>
      </x:c>
      <x:c r="F28" s="65" t="str">
        <x:v>Composite</x:v>
      </x:c>
      <x:c r="G28" s="65" t="str">
        <x:v>Solanacee, Bietola</x:v>
      </x:c>
      <x:c r="H28" s="65" t="n">
        <x:v>2</x:v>
      </x:c>
      <x:c r="I28" s="65" t="str">
        <x:v>Sì</x:v>
      </x:c>
      <x:c r="J28" s="65" t="n">
        <x:v>30</x:v>
      </x:c>
      <x:c r="K28" s="65" t="n">
        <x:v>5</x:v>
      </x:c>
      <x:c r="L28" s="65" t="str">
        <x:v>Media</x:v>
      </x:c>
      <x:c r="M28" s="71" t="b">
        <x:v>0</x:v>
      </x:c>
      <x:c r="N28" s="71" t="b">
        <x:v>1</x:v>
      </x:c>
      <x:c r="O28" s="71" t="b">
        <x:v>0</x:v>
      </x:c>
      <x:c r="P28" s="71" t="b">
        <x:v>0</x:v>
      </x:c>
      <x:c r="Q28" s="65" t="str">
        <x:v>Irrigazioni frequenti evitando i ristagni</x:v>
      </x:c>
      <x:c r="R28" s="65" t="str">
        <x:v>Semina in file/fascia; non rappresentare ogni piantina con un'icona</x:v>
      </x:c>
      <x:c r="S28" s="65" t="str">
        <x:v>Regola applicativa dell'app; la modalità di impianto non è specificata nella fonte.</x:v>
      </x:c>
      <x:c r="T28" s="65" t="str">
        <x:v>Orto Mio</x:v>
      </x:c>
    </x:row>
    <x:row r="29" ht="15" hidden="0" customHeight="1">
      <x:c r="A29" s="65" t="str">
        <x:v>mais_dolce</x:v>
      </x:c>
      <x:c r="B29" s="65" t="str">
        <x:v>Mais dolce</x:v>
      </x:c>
      <x:c r="C29" s="65" t="str">
        <x:v>corn_maize</x:v>
      </x:c>
      <x:c r="D29" s="65" t="str">
        <x:v>Corn / Maize</x:v>
      </x:c>
      <x:c r="E29" s="65" t="str">
        <x:v>GRA</x:v>
      </x:c>
      <x:c r="F29" s="65" t="str">
        <x:v>Graminacee</x:v>
      </x:c>
      <x:c r="G29" s="65" t="str">
        <x:v>Legumi</x:v>
      </x:c>
      <x:c r="H29" s="65" t="n">
        <x:v>3</x:v>
      </x:c>
      <x:c r="I29" s="65" t="str">
        <x:v>No</x:v>
      </x:c>
      <x:c r="J29" s="65" t="n">
        <x:v>30</x:v>
      </x:c>
      <x:c r="K29" s="65" t="n">
        <x:v>50</x:v>
      </x:c>
      <x:c r="L29" s="65" t="str">
        <x:v>Abbondante</x:v>
      </x:c>
      <x:c r="M29" s="71" t="b">
        <x:v>1</x:v>
      </x:c>
      <x:c r="N29" s="71" t="b">
        <x:v>1</x:v>
      </x:c>
      <x:c r="O29" s="71" t="b">
        <x:v>0</x:v>
      </x:c>
      <x:c r="P29" s="71" t="b">
        <x:v>0</x:v>
      </x:c>
      <x:c r="Q29" s="65" t="str">
        <x:v>Alla formazione e ingrossamento della pannocchia</x:v>
      </x:c>
      <x:c r="R29" s="65" t="str">
        <x:v>Piante/cespi individuali</x:v>
      </x:c>
      <x:c r="S29" s="65" t="str">
        <x:v>Regola applicativa dell'app; la modalità di impianto non è specificata nella fonte.</x:v>
      </x:c>
      <x:c r="T29" s="65" t="str">
        <x:v>Orto Mio</x:v>
      </x:c>
    </x:row>
    <x:row r="30" ht="15" hidden="0" customHeight="1">
      <x:c r="A30" s="65" t="str">
        <x:v>melanzana</x:v>
      </x:c>
      <x:c r="B30" s="65" t="str">
        <x:v>Melanzana</x:v>
      </x:c>
      <x:c r="C30" s="65" t="str">
        <x:v>eggplant_or_aubergine</x:v>
      </x:c>
      <x:c r="D30" s="65" t="str">
        <x:v>Eggplant or Aubergine</x:v>
      </x:c>
      <x:c r="E30" s="65" t="str">
        <x:v>SOL</x:v>
      </x:c>
      <x:c r="F30" s="65" t="str">
        <x:v>Solanacee</x:v>
      </x:c>
      <x:c r="G30" s="65" t="str">
        <x:v>Cicoria, Lattuga</x:v>
      </x:c>
      <x:c r="H30" s="65" t="n">
        <x:v>4</x:v>
      </x:c>
      <x:c r="I30" s="65" t="str">
        <x:v>No</x:v>
      </x:c>
      <x:c r="J30" s="65" t="n">
        <x:v>100</x:v>
      </x:c>
      <x:c r="K30" s="65" t="n">
        <x:v>40</x:v>
      </x:c>
      <x:c r="L30" s="65" t="str">
        <x:v>Abbondante</x:v>
      </x:c>
      <x:c r="M30" s="71" t="b">
        <x:v>1</x:v>
      </x:c>
      <x:c r="N30" s="71" t="b">
        <x:v>1</x:v>
      </x:c>
      <x:c r="O30" s="71" t="b">
        <x:v>0</x:v>
      </x:c>
      <x:c r="P30" s="71" t="b">
        <x:v>0</x:v>
      </x:c>
      <x:c r="Q30" s="65" t="str">
        <x:v>Teme carenza e ristagni. Innestata è meno delicata</x:v>
      </x:c>
      <x:c r="R30" s="65" t="str">
        <x:v>Piante/cespi individuali</x:v>
      </x:c>
      <x:c r="S30" s="65" t="str">
        <x:v>Regola applicativa dell'app; la modalità di impianto non è specificata nella fonte.</x:v>
      </x:c>
      <x:c r="T30" s="65" t="str">
        <x:v>Orto Mio</x:v>
      </x:c>
    </x:row>
    <x:row r="31" ht="15" hidden="0" customHeight="1">
      <x:c r="A31" s="65" t="str">
        <x:v>melone</x:v>
      </x:c>
      <x:c r="B31" s="65" t="str">
        <x:v>Melone</x:v>
      </x:c>
      <x:c r="C31" s="65" t="str">
        <x:v>melon</x:v>
      </x:c>
      <x:c r="D31" s="65" t="str">
        <x:v>Melon</x:v>
      </x:c>
      <x:c r="E31" s="65" t="str">
        <x:v>CUC</x:v>
      </x:c>
      <x:c r="F31" s="65" t="str">
        <x:v>Cucurbitacee</x:v>
      </x:c>
      <x:c r="G31" s="65" t="str">
        <x:v>Legumi</x:v>
      </x:c>
      <x:c r="H31" s="65" t="n">
        <x:v>3</x:v>
      </x:c>
      <x:c r="I31" s="65" t="str">
        <x:v>No</x:v>
      </x:c>
      <x:c r="J31" s="65" t="n">
        <x:v>150</x:v>
      </x:c>
      <x:c r="K31" s="65" t="n">
        <x:v>80</x:v>
      </x:c>
      <x:c r="L31" s="65" t="str">
        <x:v>Abbondante</x:v>
      </x:c>
      <x:c r="M31" s="71" t="b">
        <x:v>1</x:v>
      </x:c>
      <x:c r="N31" s="71" t="b">
        <x:v>1</x:v>
      </x:c>
      <x:c r="O31" s="71" t="b">
        <x:v>0</x:v>
      </x:c>
      <x:c r="P31" s="71" t="b">
        <x:v>1</x:v>
      </x:c>
      <x:c r="Q31" s="65" t="str">
        <x:v>Abbondare a inizio allegagione e fine ingrossamento</x:v>
      </x:c>
      <x:c r="R31" s="65" t="str">
        <x:v>Piante/cespi individuali</x:v>
      </x:c>
      <x:c r="S31" s="65" t="str">
        <x:v>Regola applicativa dell'app; la modalità di impianto non è specificata nella fonte.</x:v>
      </x:c>
      <x:c r="T31" s="65" t="str">
        <x:v>Orto Mio</x:v>
      </x:c>
    </x:row>
    <x:row r="32" ht="15" hidden="0" customHeight="1">
      <x:c r="A32" s="65" t="str">
        <x:v>okra</x:v>
      </x:c>
      <x:c r="B32" s="65" t="str">
        <x:v>Okra</x:v>
      </x:c>
      <x:c r="C32" s="65" t="str">
        <x:v>okra</x:v>
      </x:c>
      <x:c r="D32" s="65" t="str">
        <x:v>Okra</x:v>
      </x:c>
      <x:c r="E32" s="65" t="str">
        <x:v>MAL</x:v>
      </x:c>
      <x:c r="F32" s="65" t="str">
        <x:v>Malvacee</x:v>
      </x:c>
      <x:c r="G32" s="65" t="str">
        <x:v>Legumi</x:v>
      </x:c>
      <x:c r="H32" s="65" t="n">
        <x:v>3</x:v>
      </x:c>
      <x:c r="I32" s="65" t="str">
        <x:v>No</x:v>
      </x:c>
      <x:c r="J32" s="65" t="n">
        <x:v>100</x:v>
      </x:c>
      <x:c r="K32" s="65" t="n">
        <x:v>100</x:v>
      </x:c>
      <x:c r="L32" s="65" t="str">
        <x:v>Media</x:v>
      </x:c>
      <x:c r="M32" s="71" t="b">
        <x:v>0</x:v>
      </x:c>
      <x:c r="N32" s="71" t="b">
        <x:v>1</x:v>
      </x:c>
      <x:c r="O32" s="71" t="b">
        <x:v>0</x:v>
      </x:c>
      <x:c r="P32" s="71" t="b">
        <x:v>0</x:v>
      </x:c>
      <x:c r="Q32" s="65" t="str">
        <x:v>Nei periodi aridi, irrigazioni scarse ma frequenti</x:v>
      </x:c>
      <x:c r="R32" s="65" t="str">
        <x:v>Piante/cespi individuali</x:v>
      </x:c>
      <x:c r="S32" s="65" t="str">
        <x:v>Regola applicativa dell'app; la modalità di impianto non è specificata nella fonte.</x:v>
      </x:c>
      <x:c r="T32" s="65" t="str">
        <x:v>Orto Mio</x:v>
      </x:c>
    </x:row>
    <x:row r="33" ht="15" hidden="0" customHeight="1">
      <x:c r="A33" s="65" t="str">
        <x:v>patata</x:v>
      </x:c>
      <x:c r="B33" s="65" t="str">
        <x:v>Patata</x:v>
      </x:c>
      <x:c r="C33" s="65" t="str">
        <x:v>potato</x:v>
      </x:c>
      <x:c r="D33" s="65" t="str">
        <x:v>Potato</x:v>
      </x:c>
      <x:c r="E33" s="65" t="str">
        <x:v>SOL</x:v>
      </x:c>
      <x:c r="F33" s="65" t="str">
        <x:v>Solanacee</x:v>
      </x:c>
      <x:c r="G33" s="65" t="str">
        <x:v>Legumi, Cavoli</x:v>
      </x:c>
      <x:c r="H33" s="65" t="n">
        <x:v>4</x:v>
      </x:c>
      <x:c r="I33" s="65" t="str">
        <x:v>No</x:v>
      </x:c>
      <x:c r="J33" s="65" t="n">
        <x:v>80</x:v>
      </x:c>
      <x:c r="K33" s="65" t="n">
        <x:v>30</x:v>
      </x:c>
      <x:c r="L33" s="65" t="str">
        <x:v>Abbondante</x:v>
      </x:c>
      <x:c r="M33" s="71" t="b">
        <x:v>1</x:v>
      </x:c>
      <x:c r="N33" s="71" t="b">
        <x:v>0</x:v>
      </x:c>
      <x:c r="O33" s="71" t="b">
        <x:v>1</x:v>
      </x:c>
      <x:c r="P33" s="71" t="b">
        <x:v>0</x:v>
      </x:c>
      <x:c r="Q33" s="65" t="str">
        <x:v>Evitare carenze prima e durante la fioritura</x:v>
      </x:c>
      <x:c r="R33" s="65" t="str">
        <x:v>Piante/cespi individuali</x:v>
      </x:c>
      <x:c r="S33" s="65" t="str">
        <x:v>Regola applicativa dell'app; la modalità di impianto non è specificata nella fonte.</x:v>
      </x:c>
      <x:c r="T33" s="65" t="str">
        <x:v>Orto Mio</x:v>
      </x:c>
    </x:row>
    <x:row r="34" ht="15" hidden="0" customHeight="1">
      <x:c r="A34" s="65" t="str">
        <x:v>peperone</x:v>
      </x:c>
      <x:c r="B34" s="65" t="str">
        <x:v>Peperone</x:v>
      </x:c>
      <x:c r="C34" s="65" t="str">
        <x:v>peppers</x:v>
      </x:c>
      <x:c r="D34" s="65" t="str">
        <x:v>Peppers</x:v>
      </x:c>
      <x:c r="E34" s="65" t="str">
        <x:v>SOL</x:v>
      </x:c>
      <x:c r="F34" s="65" t="str">
        <x:v>Solanacee</x:v>
      </x:c>
      <x:c r="G34" s="65" t="str">
        <x:v>Cicoria, Lattuga</x:v>
      </x:c>
      <x:c r="H34" s="65" t="n">
        <x:v>4</x:v>
      </x:c>
      <x:c r="I34" s="65" t="str">
        <x:v>No</x:v>
      </x:c>
      <x:c r="J34" s="65" t="n">
        <x:v>100</x:v>
      </x:c>
      <x:c r="K34" s="65" t="n">
        <x:v>40</x:v>
      </x:c>
      <x:c r="L34" s="65" t="str">
        <x:v>Abbondante</x:v>
      </x:c>
      <x:c r="M34" s="71" t="b">
        <x:v>1</x:v>
      </x:c>
      <x:c r="N34" s="71" t="b">
        <x:v>1</x:v>
      </x:c>
      <x:c r="O34" s="71" t="b">
        <x:v>0</x:v>
      </x:c>
      <x:c r="P34" s="71" t="b">
        <x:v>1</x:v>
      </x:c>
      <x:c r="Q34" s="65" t="str">
        <x:v>Teme carenze e ristagni. Consigliata baulatura</x:v>
      </x:c>
      <x:c r="R34" s="65" t="str">
        <x:v>Piante/cespi individuali</x:v>
      </x:c>
      <x:c r="S34" s="65" t="str">
        <x:v>Regola applicativa dell'app; la modalità di impianto non è specificata nella fonte.</x:v>
      </x:c>
      <x:c r="T34" s="65" t="str">
        <x:v>Orto Mio</x:v>
      </x:c>
    </x:row>
    <x:row r="35" ht="15" hidden="0" customHeight="1">
      <x:c r="A35" s="65" t="str">
        <x:v>piselli</x:v>
      </x:c>
      <x:c r="B35" s="65" t="str">
        <x:v>Piselli</x:v>
      </x:c>
      <x:c r="C35" s="65" t="str">
        <x:v>peas</x:v>
      </x:c>
      <x:c r="D35" s="65" t="str">
        <x:v>Peas</x:v>
      </x:c>
      <x:c r="E35" s="65" t="str">
        <x:v>LEG</x:v>
      </x:c>
      <x:c r="F35" s="65" t="str">
        <x:v>Fagiolo</x:v>
      </x:c>
      <x:c r="G35" s="65" t="str">
        <x:v>Cicoria, Cavoli</x:v>
      </x:c>
      <x:c r="H35" s="65" t="n">
        <x:v>2</x:v>
      </x:c>
      <x:c r="I35" s="65"/>
      <x:c r="J35" s="65" t="n">
        <x:v>50</x:v>
      </x:c>
      <x:c r="K35" s="65" t="n">
        <x:v>10</x:v>
      </x:c>
      <x:c r="L35" s="65" t="str">
        <x:v>Scarsa</x:v>
      </x:c>
      <x:c r="M35" s="71" t="b">
        <x:v>0</x:v>
      </x:c>
      <x:c r="N35" s="71" t="b">
        <x:v>0</x:v>
      </x:c>
      <x:c r="O35" s="71" t="b">
        <x:v>0</x:v>
      </x:c>
      <x:c r="P35" s="71" t="b">
        <x:v>0</x:v>
      </x:c>
      <x:c r="Q35" s="65" t="str">
        <x:v>Esigenze idriche limitate. Irrigare con siccità</x:v>
      </x:c>
      <x:c r="R35" s="65" t="str">
        <x:v>Piante/cespi individuali</x:v>
      </x:c>
      <x:c r="S35" s="65" t="str">
        <x:v>Regola applicativa dell'app; la modalità di impianto non è specificata nella fonte.</x:v>
      </x:c>
      <x:c r="T35" s="65" t="str">
        <x:v>Orto Mio</x:v>
      </x:c>
    </x:row>
    <x:row r="36" ht="15" hidden="0" customHeight="1">
      <x:c r="A36" s="65" t="str">
        <x:v>pomodoro</x:v>
      </x:c>
      <x:c r="B36" s="65" t="str">
        <x:v>Pomodoro</x:v>
      </x:c>
      <x:c r="C36" s="65" t="str">
        <x:v>tomatoes</x:v>
      </x:c>
      <x:c r="D36" s="65" t="str">
        <x:v>Tomatoes</x:v>
      </x:c>
      <x:c r="E36" s="65" t="str">
        <x:v>SOL</x:v>
      </x:c>
      <x:c r="F36" s="65" t="str">
        <x:v>Cucurbitacee, Asparago</x:v>
      </x:c>
      <x:c r="G36" s="65" t="str">
        <x:v>Cicoria, Lattuga</x:v>
      </x:c>
      <x:c r="H36" s="65" t="n">
        <x:v>3</x:v>
      </x:c>
      <x:c r="I36" s="65" t="str">
        <x:v>No</x:v>
      </x:c>
      <x:c r="J36" s="65" t="n">
        <x:v>100</x:v>
      </x:c>
      <x:c r="K36" s="65" t="n">
        <x:v>40</x:v>
      </x:c>
      <x:c r="L36" s="65" t="str">
        <x:v>Abbondante</x:v>
      </x:c>
      <x:c r="M36" s="71" t="b">
        <x:v>1</x:v>
      </x:c>
      <x:c r="N36" s="71" t="b">
        <x:v>1</x:v>
      </x:c>
      <x:c r="O36" s="71" t="b">
        <x:v>0</x:v>
      </x:c>
      <x:c r="P36" s="71" t="b">
        <x:v>0</x:v>
      </x:c>
      <x:c r="Q36" s="65" t="str">
        <x:v>Abbondare nei periodi siccitosi</x:v>
      </x:c>
      <x:c r="R36" s="65" t="str">
        <x:v>Piante/cespi individuali</x:v>
      </x:c>
      <x:c r="S36" s="65" t="str">
        <x:v>Regola applicativa dell'app; la modalità di impianto non è specificata nella fonte.</x:v>
      </x:c>
      <x:c r="T36" s="65" t="str">
        <x:v>Orto Mio</x:v>
      </x:c>
    </x:row>
    <x:row r="37" ht="15" hidden="0" customHeight="1">
      <x:c r="A37" s="65" t="str">
        <x:v>porro</x:v>
      </x:c>
      <x:c r="B37" s="65" t="str">
        <x:v>Porro</x:v>
      </x:c>
      <x:c r="C37" s="65" t="str">
        <x:v>leek</x:v>
      </x:c>
      <x:c r="D37" s="65" t="str">
        <x:v>Leek</x:v>
      </x:c>
      <x:c r="E37" s="65" t="str">
        <x:v>LIL</x:v>
      </x:c>
      <x:c r="F37" s="65" t="str">
        <x:v>Liliacee</x:v>
      </x:c>
      <x:c r="G37" s="65" t="str">
        <x:v>Cavolo, Cetriolo, Pomodoro</x:v>
      </x:c>
      <x:c r="H37" s="65" t="n">
        <x:v>3</x:v>
      </x:c>
      <x:c r="I37" s="65" t="str">
        <x:v>Sì</x:v>
      </x:c>
      <x:c r="J37" s="65" t="n">
        <x:v>15</x:v>
      </x:c>
      <x:c r="K37" s="65" t="n">
        <x:v>5</x:v>
      </x:c>
      <x:c r="L37" s="65" t="str">
        <x:v>Media</x:v>
      </x:c>
      <x:c r="M37" s="71" t="b">
        <x:v>0</x:v>
      </x:c>
      <x:c r="N37" s="71" t="b">
        <x:v>0</x:v>
      </x:c>
      <x:c r="O37" s="71" t="b">
        <x:v>0</x:v>
      </x:c>
      <x:c r="P37" s="71" t="b">
        <x:v>1</x:v>
      </x:c>
      <x:c r="Q37" s="65" t="str">
        <x:v>Irrigazioni frequenti evitando i ristagni</x:v>
      </x:c>
      <x:c r="R37" s="65" t="str">
        <x:v>Piante/cespi individuali</x:v>
      </x:c>
      <x:c r="S37" s="65" t="str">
        <x:v>Regola applicativa dell'app; la modalità di impianto non è specificata nella fonte.</x:v>
      </x:c>
      <x:c r="T37" s="65" t="str">
        <x:v>Orto Mio</x:v>
      </x:c>
    </x:row>
    <x:row r="38" ht="15" hidden="0" customHeight="1">
      <x:c r="A38" s="65" t="str">
        <x:v>prezzemolo</x:v>
      </x:c>
      <x:c r="B38" s="65" t="str">
        <x:v>Prezzemolo</x:v>
      </x:c>
      <x:c r="C38" s="65" t="str">
        <x:v>parsley</x:v>
      </x:c>
      <x:c r="D38" s="65" t="str">
        <x:v>Parsley</x:v>
      </x:c>
      <x:c r="E38" s="65" t="str">
        <x:v>OMB</x:v>
      </x:c>
      <x:c r="F38" s="65" t="str">
        <x:v>Ombrellifere</x:v>
      </x:c>
      <x:c r="G38" s="65" t="str">
        <x:v>Lattuga</x:v>
      </x:c>
      <x:c r="H38" s="65" t="n">
        <x:v>3</x:v>
      </x:c>
      <x:c r="I38" s="65" t="str">
        <x:v>Sì</x:v>
      </x:c>
      <x:c r="J38" s="65" t="n">
        <x:v>15</x:v>
      </x:c>
      <x:c r="K38" s="65" t="n">
        <x:v>5</x:v>
      </x:c>
      <x:c r="L38" s="65" t="str">
        <x:v>Scarsa</x:v>
      </x:c>
      <x:c r="M38" s="71" t="b">
        <x:v>0</x:v>
      </x:c>
      <x:c r="N38" s="71" t="b">
        <x:v>0</x:v>
      </x:c>
      <x:c r="O38" s="71" t="b">
        <x:v>0</x:v>
      </x:c>
      <x:c r="P38" s="71" t="b">
        <x:v>0</x:v>
      </x:c>
      <x:c r="Q38" s="65" t="str">
        <x:v>Irrigazioni scarse ma frequenti</x:v>
      </x:c>
      <x:c r="R38" s="65" t="str">
        <x:v>Semina in file/fascia; non rappresentare ogni piantina con un'icona</x:v>
      </x:c>
      <x:c r="S38" s="65" t="str">
        <x:v>Regola applicativa dell'app; la modalità di impianto non è specificata nella fonte.</x:v>
      </x:c>
      <x:c r="T38" s="65" t="str">
        <x:v>Orto Mio</x:v>
      </x:c>
    </x:row>
    <x:row r="39" ht="15" hidden="0" customHeight="1">
      <x:c r="A39" s="65" t="str">
        <x:v>ravanello</x:v>
      </x:c>
      <x:c r="B39" s="65" t="str">
        <x:v>Ravanello</x:v>
      </x:c>
      <x:c r="C39" s="65" t="str">
        <x:v>radish</x:v>
      </x:c>
      <x:c r="D39" s="65" t="str">
        <x:v>Radish</x:v>
      </x:c>
      <x:c r="E39" s="65" t="str">
        <x:v>CRU</x:v>
      </x:c>
      <x:c r="F39" s="65" t="str">
        <x:v>Crucifere</x:v>
      </x:c>
      <x:c r="G39" s="65" t="str">
        <x:v>Insalate, Pomodori, Porri</x:v>
      </x:c>
      <x:c r="H39" s="65" t="n">
        <x:v>2</x:v>
      </x:c>
      <x:c r="I39" s="65" t="str">
        <x:v>Sì</x:v>
      </x:c>
      <x:c r="J39" s="65" t="n">
        <x:v>15</x:v>
      </x:c>
      <x:c r="K39" s="65" t="n">
        <x:v>5</x:v>
      </x:c>
      <x:c r="L39" s="65" t="str">
        <x:v>Scarsa</x:v>
      </x:c>
      <x:c r="M39" s="71" t="b">
        <x:v>0</x:v>
      </x:c>
      <x:c r="N39" s="71" t="b">
        <x:v>0</x:v>
      </x:c>
      <x:c r="O39" s="71" t="b">
        <x:v>0</x:v>
      </x:c>
      <x:c r="P39" s="71" t="b">
        <x:v>0</x:v>
      </x:c>
      <x:c r="Q39" s="65" t="str">
        <x:v>Irrigazioni scarse ma frequenti</x:v>
      </x:c>
      <x:c r="R39" s="65" t="str">
        <x:v>Piante/cespi individuali</x:v>
      </x:c>
      <x:c r="S39" s="65" t="str">
        <x:v>Regola applicativa dell'app; la modalità di impianto non è specificata nella fonte.</x:v>
      </x:c>
      <x:c r="T39" s="65" t="str">
        <x:v>Orto Mio</x:v>
      </x:c>
    </x:row>
    <x:row r="40" ht="15" hidden="0" customHeight="1">
      <x:c r="A40" s="65" t="str">
        <x:v>rucola</x:v>
      </x:c>
      <x:c r="B40" s="65" t="str">
        <x:v>Rucola</x:v>
      </x:c>
      <x:c r="C40" s="65" t="str">
        <x:v>arugula</x:v>
      </x:c>
      <x:c r="D40" s="65" t="str">
        <x:v>Arugula</x:v>
      </x:c>
      <x:c r="E40" s="65" t="str">
        <x:v>CRU</x:v>
      </x:c>
      <x:c r="F40" s="65" t="str">
        <x:v>Crucifere</x:v>
      </x:c>
      <x:c r="G40" s="65"/>
      <x:c r="H40" s="65" t="n">
        <x:v>2</x:v>
      </x:c>
      <x:c r="I40" s="65" t="str">
        <x:v>Sì</x:v>
      </x:c>
      <x:c r="J40" s="65" t="n">
        <x:v>25</x:v>
      </x:c>
      <x:c r="K40" s="65" t="n">
        <x:v>5</x:v>
      </x:c>
      <x:c r="L40" s="65" t="str">
        <x:v>Media</x:v>
      </x:c>
      <x:c r="M40" s="71" t="b">
        <x:v>0</x:v>
      </x:c>
      <x:c r="N40" s="71" t="b">
        <x:v>0</x:v>
      </x:c>
      <x:c r="O40" s="71" t="b">
        <x:v>0</x:v>
      </x:c>
      <x:c r="P40" s="71" t="b">
        <x:v>0</x:v>
      </x:c>
      <x:c r="Q40" s="65" t="str">
        <x:v>Irrigazioni frequenti evitando i ristagni</x:v>
      </x:c>
      <x:c r="R40" s="65" t="str">
        <x:v>Semina in file/fascia; non rappresentare ogni piantina con un'icona</x:v>
      </x:c>
      <x:c r="S40" s="65" t="str">
        <x:v>Regola applicativa dell'app; la modalità di impianto non è specificata nella fonte.</x:v>
      </x:c>
      <x:c r="T40" s="65" t="str">
        <x:v>Orto Mio</x:v>
      </x:c>
    </x:row>
    <x:row r="41" ht="15" hidden="0" customHeight="1">
      <x:c r="A41" s="65" t="str">
        <x:v>scalogno</x:v>
      </x:c>
      <x:c r="B41" s="65" t="str">
        <x:v>Scalogno</x:v>
      </x:c>
      <x:c r="C41" s="65" t="str">
        <x:v>alliums</x:v>
      </x:c>
      <x:c r="D41" s="65" t="str">
        <x:v>Alliums</x:v>
      </x:c>
      <x:c r="E41" s="65" t="str">
        <x:v>LIL</x:v>
      </x:c>
      <x:c r="F41" s="65" t="str">
        <x:v>Cavolo, Bietola</x:v>
      </x:c>
      <x:c r="G41" s="65" t="str">
        <x:v>Cetriolo, Pomodoro</x:v>
      </x:c>
      <x:c r="H41" s="65" t="n">
        <x:v>3</x:v>
      </x:c>
      <x:c r="I41" s="65" t="str">
        <x:v>Sì</x:v>
      </x:c>
      <x:c r="J41" s="65" t="n">
        <x:v>30</x:v>
      </x:c>
      <x:c r="K41" s="65" t="n">
        <x:v>15</x:v>
      </x:c>
      <x:c r="L41" s="65" t="str">
        <x:v>Media</x:v>
      </x:c>
      <x:c r="M41" s="71" t="b">
        <x:v>0</x:v>
      </x:c>
      <x:c r="N41" s="71" t="b">
        <x:v>0</x:v>
      </x:c>
      <x:c r="O41" s="71" t="b">
        <x:v>1</x:v>
      </x:c>
      <x:c r="P41" s="71" t="b">
        <x:v>0</x:v>
      </x:c>
      <x:c r="Q41" s="65" t="str">
        <x:v>Settimanalmente solo in caso di siccità</x:v>
      </x:c>
      <x:c r="R41" s="65" t="str">
        <x:v>Piante/cespi individuali</x:v>
      </x:c>
      <x:c r="S41" s="65" t="str">
        <x:v>Regola applicativa dell'app; la modalità di impianto non è specificata nella fonte.</x:v>
      </x:c>
      <x:c r="T41" s="65" t="str">
        <x:v>Orto Mio</x:v>
      </x:c>
    </x:row>
    <x:row r="42" ht="15" hidden="0" customHeight="1">
      <x:c r="A42" s="65" t="str">
        <x:v>sedano</x:v>
      </x:c>
      <x:c r="B42" s="65" t="str">
        <x:v>Sedano</x:v>
      </x:c>
      <x:c r="C42" s="65" t="str">
        <x:v>celery</x:v>
      </x:c>
      <x:c r="D42" s="65" t="str">
        <x:v>Celery</x:v>
      </x:c>
      <x:c r="E42" s="65" t="str">
        <x:v>OMB</x:v>
      </x:c>
      <x:c r="F42" s="65" t="str">
        <x:v>Ombrellifere</x:v>
      </x:c>
      <x:c r="G42" s="65" t="str">
        <x:v>Legumi</x:v>
      </x:c>
      <x:c r="H42" s="65" t="n">
        <x:v>2</x:v>
      </x:c>
      <x:c r="I42" s="65" t="str">
        <x:v>Sì</x:v>
      </x:c>
      <x:c r="J42" s="65" t="n">
        <x:v>40</x:v>
      </x:c>
      <x:c r="K42" s="65" t="n">
        <x:v>25</x:v>
      </x:c>
      <x:c r="L42" s="65" t="str">
        <x:v>Abbondante</x:v>
      </x:c>
      <x:c r="M42" s="71" t="b">
        <x:v>1</x:v>
      </x:c>
      <x:c r="N42" s="71" t="b">
        <x:v>1</x:v>
      </x:c>
      <x:c r="O42" s="71" t="b">
        <x:v>1</x:v>
      </x:c>
      <x:c r="P42" s="71" t="b">
        <x:v>0</x:v>
      </x:c>
      <x:c r="Q42" s="65" t="str">
        <x:v>Irrigazioni frequenti evitando i ristagni</x:v>
      </x:c>
      <x:c r="R42" s="65" t="str">
        <x:v>Piante/cespi individuali</x:v>
      </x:c>
      <x:c r="S42" s="65" t="str">
        <x:v>Regola applicativa dell'app; la modalità di impianto non è specificata nella fonte.</x:v>
      </x:c>
      <x:c r="T42" s="65" t="str">
        <x:v>Orto Mio</x:v>
      </x:c>
    </x:row>
    <x:row r="43" ht="15" hidden="0" customHeight="1">
      <x:c r="A43" s="65" t="str">
        <x:v>spinacio</x:v>
      </x:c>
      <x:c r="B43" s="65" t="str">
        <x:v>Spinacio</x:v>
      </x:c>
      <x:c r="C43" s="65" t="str">
        <x:v>spinach</x:v>
      </x:c>
      <x:c r="D43" s="65" t="str">
        <x:v>Spinach</x:v>
      </x:c>
      <x:c r="E43" s="65" t="str">
        <x:v>CHE</x:v>
      </x:c>
      <x:c r="F43" s="65" t="str">
        <x:v>Bietola, Spinacio</x:v>
      </x:c>
      <x:c r="G43" s="65" t="str">
        <x:v>Cavolo, Insalate, Zucchine</x:v>
      </x:c>
      <x:c r="H43" s="65" t="n">
        <x:v>2</x:v>
      </x:c>
      <x:c r="I43" s="65" t="str">
        <x:v>Sì</x:v>
      </x:c>
      <x:c r="J43" s="65" t="n">
        <x:v>25</x:v>
      </x:c>
      <x:c r="K43" s="65" t="n">
        <x:v>15</x:v>
      </x:c>
      <x:c r="L43" s="65" t="str">
        <x:v>Media</x:v>
      </x:c>
      <x:c r="M43" s="71" t="b">
        <x:v>0</x:v>
      </x:c>
      <x:c r="N43" s="71" t="b">
        <x:v>0</x:v>
      </x:c>
      <x:c r="O43" s="71" t="b">
        <x:v>0</x:v>
      </x:c>
      <x:c r="P43" s="71" t="b">
        <x:v>0</x:v>
      </x:c>
      <x:c r="Q43" s="65" t="str">
        <x:v>Irrigazioni frequenti evitando i ristagni</x:v>
      </x:c>
      <x:c r="R43" s="65" t="str">
        <x:v>Semina in file/fascia; non rappresentare ogni piantina con un'icona</x:v>
      </x:c>
      <x:c r="S43" s="65" t="str">
        <x:v>Regola applicativa dell'app; la modalità di impianto non è specificata nella fonte.</x:v>
      </x:c>
      <x:c r="T43" s="65" t="str">
        <x:v>Orto Mio</x:v>
      </x:c>
    </x:row>
    <x:row r="44" ht="15" hidden="0" customHeight="1">
      <x:c r="A44" s="65" t="str">
        <x:v>valeriana</x:v>
      </x:c>
      <x:c r="B44" s="65" t="str">
        <x:v>Valeriana</x:v>
      </x:c>
      <x:c r="C44" s="65" t="str">
        <x:v>corn_salad</x:v>
      </x:c>
      <x:c r="D44" s="65" t="str">
        <x:v>Corn salad</x:v>
      </x:c>
      <x:c r="E44" s="65" t="str">
        <x:v>VAL</x:v>
      </x:c>
      <x:c r="F44" s="65" t="str">
        <x:v>Valerianacee</x:v>
      </x:c>
      <x:c r="G44" s="65"/>
      <x:c r="H44" s="65" t="n">
        <x:v>2</x:v>
      </x:c>
      <x:c r="I44" s="65" t="str">
        <x:v>Sì</x:v>
      </x:c>
      <x:c r="J44" s="65" t="n">
        <x:v>25</x:v>
      </x:c>
      <x:c r="K44" s="65" t="n">
        <x:v>15</x:v>
      </x:c>
      <x:c r="L44" s="65" t="str">
        <x:v>Media</x:v>
      </x:c>
      <x:c r="M44" s="71" t="b">
        <x:v>0</x:v>
      </x:c>
      <x:c r="N44" s="71" t="b">
        <x:v>0</x:v>
      </x:c>
      <x:c r="O44" s="71" t="b">
        <x:v>0</x:v>
      </x:c>
      <x:c r="P44" s="71" t="b">
        <x:v>0</x:v>
      </x:c>
      <x:c r="Q44" s="65" t="str">
        <x:v>Irrigazioni frequenti evitando i ristagni</x:v>
      </x:c>
      <x:c r="R44" s="65" t="str">
        <x:v>Semina in file/fascia; non rappresentare ogni piantina con un'icona</x:v>
      </x:c>
      <x:c r="S44" s="65" t="str">
        <x:v>Regola applicativa dell'app; la modalità di impianto non è specificata nella fonte.</x:v>
      </x:c>
      <x:c r="T44" s="65" t="str">
        <x:v>Orto Mio</x:v>
      </x:c>
    </x:row>
    <x:row r="45" ht="15" hidden="0" customHeight="1">
      <x:c r="A45" s="65" t="str">
        <x:v>zucca</x:v>
      </x:c>
      <x:c r="B45" s="65" t="str">
        <x:v>Zucca</x:v>
      </x:c>
      <x:c r="C45" s="65" t="str">
        <x:v>pumpkin</x:v>
      </x:c>
      <x:c r="D45" s="65" t="str">
        <x:v>Pumpkin</x:v>
      </x:c>
      <x:c r="E45" s="65" t="str">
        <x:v>CUC</x:v>
      </x:c>
      <x:c r="F45" s="65" t="str">
        <x:v>Zucchino, Pomodoro</x:v>
      </x:c>
      <x:c r="G45" s="65" t="str">
        <x:v>Legumi, Lattuga</x:v>
      </x:c>
      <x:c r="H45" s="65" t="n">
        <x:v>3</x:v>
      </x:c>
      <x:c r="I45" s="65" t="str">
        <x:v>No</x:v>
      </x:c>
      <x:c r="J45" s="65" t="n">
        <x:v>200</x:v>
      </x:c>
      <x:c r="K45" s="65" t="n">
        <x:v>100</x:v>
      </x:c>
      <x:c r="L45" s="65" t="str">
        <x:v>Abbondante</x:v>
      </x:c>
      <x:c r="M45" s="71" t="b">
        <x:v>1</x:v>
      </x:c>
      <x:c r="N45" s="71" t="b">
        <x:v>1</x:v>
      </x:c>
      <x:c r="O45" s="71" t="b">
        <x:v>0</x:v>
      </x:c>
      <x:c r="P45" s="71" t="b">
        <x:v>1</x:v>
      </x:c>
      <x:c r="Q45" s="65" t="str">
        <x:v>Abbondare a inizio allegagione e ingrossamento dei frutti</x:v>
      </x:c>
      <x:c r="R45" s="65" t="str">
        <x:v>Piante/cespi individuali</x:v>
      </x:c>
      <x:c r="S45" s="65" t="str">
        <x:v>Regola applicativa dell'app; la modalità di impianto non è specificata nella fonte.</x:v>
      </x:c>
      <x:c r="T45" s="65" t="str">
        <x:v>Orto Mio</x:v>
      </x:c>
    </x:row>
    <x:row r="46" ht="15" hidden="0" customHeight="1">
      <x:c r="A46" s="65" t="str">
        <x:v>zucchino</x:v>
      </x:c>
      <x:c r="B46" s="65" t="str">
        <x:v>Zucchino</x:v>
      </x:c>
      <x:c r="C46" s="65" t="str">
        <x:v>squash</x:v>
      </x:c>
      <x:c r="D46" s="65" t="str">
        <x:v>Squash</x:v>
      </x:c>
      <x:c r="E46" s="65" t="str">
        <x:v>CUC</x:v>
      </x:c>
      <x:c r="F46" s="65" t="str">
        <x:v>Cucurbitacee, Pomodoro</x:v>
      </x:c>
      <x:c r="G46" s="65" t="str">
        <x:v>Legumi, Lattuga, Cavoli</x:v>
      </x:c>
      <x:c r="H46" s="65" t="n">
        <x:v>3</x:v>
      </x:c>
      <x:c r="I46" s="65" t="str">
        <x:v>No</x:v>
      </x:c>
      <x:c r="J46" s="65" t="n">
        <x:v>120</x:v>
      </x:c>
      <x:c r="K46" s="65" t="n">
        <x:v>80</x:v>
      </x:c>
      <x:c r="L46" s="65" t="str">
        <x:v>Abbondante</x:v>
      </x:c>
      <x:c r="M46" s="71" t="b">
        <x:v>1</x:v>
      </x:c>
      <x:c r="N46" s="71" t="b">
        <x:v>1</x:v>
      </x:c>
      <x:c r="O46" s="71" t="b">
        <x:v>0</x:v>
      </x:c>
      <x:c r="P46" s="71" t="b">
        <x:v>0</x:v>
      </x:c>
      <x:c r="Q46" s="65" t="str">
        <x:v>Abbondare a giorni alterni nei periodi molto caldi</x:v>
      </x:c>
      <x:c r="R46" s="65" t="str">
        <x:v>Piante/cespi individuali</x:v>
      </x:c>
      <x:c r="S46" s="65" t="str">
        <x:v>Regola applicativa dell'app; la modalità di impianto non è specificata nella fonte.</x:v>
      </x:c>
      <x:c r="T46" s="65" t="str">
        <x:v>Orto Mio</x:v>
      </x:c>
    </x:row>
  </x:sheetData>
  <x:mergeCells>
    <x:mergeCell ref="A1:T1"/>
    <x:mergeCell ref="A2:T2"/>
  </x:mergeCells>
  <x:pageMargins left="0.7" right="0.7" top="0.75" bottom="0.75" header="0.3" footer="0.3"/>
  <x:tableParts count="1">
    <x:tablePart xmlns:r="http://schemas.openxmlformats.org/officeDocument/2006/relationships" r:id="R081526f4bf144aa5"/>
  </x:tableParts>
</x:worksheet>
</file>

<file path=xl/worksheets/sheet9.xml><?xml version="1.0" encoding="utf-8"?>
<x:worksheet xmlns:x="http://schemas.openxmlformats.org/spreadsheetml/2006/main">
  <x:sheetFormatPr defaultRowHeight="15"/>
  <x:cols>
    <x:col min="1" max="1" width="30" hidden="0" customWidth="1"/>
    <x:col min="2" max="2" width="30" hidden="0" customWidth="1"/>
    <x:col min="3" max="3" width="25" hidden="0" customWidth="1"/>
    <x:col min="4" max="4" width="25" hidden="0" customWidth="1"/>
    <x:col min="5" max="5" width="25" hidden="0" customWidth="1"/>
    <x:col min="6" max="6" width="48" hidden="0" customWidth="1"/>
  </x:cols>
  <x:sheetData>
    <x:row r="1" ht="18" hidden="0" customHeight="1">
      <x:c r="A1" s="42" t="str">
        <x:v>Alias e collegamenti tra specie e matrice</x:v>
      </x:c>
      <x:c r="B1" s="42"/>
      <x:c r="C1" s="42"/>
      <x:c r="D1" s="42"/>
      <x:c r="E1" s="42"/>
      <x:c r="F1" s="42"/>
    </x:row>
    <x:row r="2" ht="15" hidden="0" customHeight="1">
      <x:c r="A2" s="49" t="str">
        <x:v>Questo foglio evita di perdere differenze come Cipolla/Cipollotto o Lattuga/Lattughini, pur collegandole alla stessa entità della matrice quando necessario.</x:v>
      </x:c>
      <x:c r="B2" s="49"/>
      <x:c r="C2" s="49"/>
      <x:c r="D2" s="49"/>
      <x:c r="E2" s="49"/>
      <x:c r="F2" s="49"/>
    </x:row>
    <x:row r="3"/>
    <x:row r="4" ht="15" hidden="0" customHeight="1">
      <x:c r="A4" s="58" t="str">
        <x:v>Alias_ID</x:v>
      </x:c>
      <x:c r="B4" s="58" t="str">
        <x:v>Nome visualizzato</x:v>
      </x:c>
      <x:c r="C4" s="58" t="str">
        <x:v>Specie_ID</x:v>
      </x:c>
      <x:c r="D4" s="58" t="str">
        <x:v>Entita_ID</x:v>
      </x:c>
      <x:c r="E4" s="58" t="str">
        <x:v>Canonico EN</x:v>
      </x:c>
      <x:c r="F4" s="58" t="str">
        <x:v>Tipo alias</x:v>
      </x:c>
    </x:row>
    <x:row r="5" ht="15" hidden="0" customHeight="1">
      <x:c r="A5" s="65" t="str">
        <x:v>aglio</x:v>
      </x:c>
      <x:c r="B5" s="65" t="str">
        <x:v>Aglio</x:v>
      </x:c>
      <x:c r="C5" s="65" t="str">
        <x:v>aglio</x:v>
      </x:c>
      <x:c r="D5" s="65" t="str">
        <x:v>alliums</x:v>
      </x:c>
      <x:c r="E5" s="65" t="str">
        <x:v>Alliums</x:v>
      </x:c>
      <x:c r="F5" s="65" t="str">
        <x:v>Nome specie italiano dalla scheda coltivazione</x:v>
      </x:c>
    </x:row>
    <x:row r="6" ht="15" hidden="0" customHeight="1">
      <x:c r="A6" s="65" t="str">
        <x:v>anguria</x:v>
      </x:c>
      <x:c r="B6" s="65" t="str">
        <x:v>Anguria</x:v>
      </x:c>
      <x:c r="C6" s="65" t="str">
        <x:v>anguria</x:v>
      </x:c>
      <x:c r="D6" s="65" t="str">
        <x:v>watermelon</x:v>
      </x:c>
      <x:c r="E6" s="65" t="str">
        <x:v>Watermelon</x:v>
      </x:c>
      <x:c r="F6" s="65" t="str">
        <x:v>Nome specie italiano dalla scheda coltivazione</x:v>
      </x:c>
    </x:row>
    <x:row r="7" ht="15" hidden="0" customHeight="1">
      <x:c r="A7" s="65" t="str">
        <x:v>asparago</x:v>
      </x:c>
      <x:c r="B7" s="65" t="str">
        <x:v>Asparago</x:v>
      </x:c>
      <x:c r="C7" s="65" t="str">
        <x:v>asparago</x:v>
      </x:c>
      <x:c r="D7" s="65" t="str">
        <x:v>asparagus</x:v>
      </x:c>
      <x:c r="E7" s="65" t="str">
        <x:v>Asparagus</x:v>
      </x:c>
      <x:c r="F7" s="65" t="str">
        <x:v>Nome specie italiano dalla scheda coltivazione</x:v>
      </x:c>
    </x:row>
    <x:row r="8" ht="15" hidden="0" customHeight="1">
      <x:c r="A8" s="65" t="str">
        <x:v>basilico</x:v>
      </x:c>
      <x:c r="B8" s="65" t="str">
        <x:v>Basilico</x:v>
      </x:c>
      <x:c r="C8" s="65" t="str">
        <x:v>basilico</x:v>
      </x:c>
      <x:c r="D8" s="65" t="str">
        <x:v>basil</x:v>
      </x:c>
      <x:c r="E8" s="65" t="str">
        <x:v>Basil</x:v>
      </x:c>
      <x:c r="F8" s="65" t="str">
        <x:v>Nome specie italiano dalla scheda coltivazione</x:v>
      </x:c>
    </x:row>
    <x:row r="9" ht="15" hidden="0" customHeight="1">
      <x:c r="A9" s="65" t="str">
        <x:v>bietola_da_coste</x:v>
      </x:c>
      <x:c r="B9" s="65" t="str">
        <x:v>Bietola da coste</x:v>
      </x:c>
      <x:c r="C9" s="65" t="str">
        <x:v>bietola_da_coste</x:v>
      </x:c>
      <x:c r="D9" s="65" t="str">
        <x:v>chard</x:v>
      </x:c>
      <x:c r="E9" s="65" t="str">
        <x:v>Chard</x:v>
      </x:c>
      <x:c r="F9" s="65" t="str">
        <x:v>Nome specie italiano dalla scheda coltivazione</x:v>
      </x:c>
    </x:row>
    <x:row r="10" ht="15" hidden="0" customHeight="1">
      <x:c r="A10" s="65" t="str">
        <x:v>bietoline_da_taglio</x:v>
      </x:c>
      <x:c r="B10" s="65" t="str">
        <x:v>Bietoline da taglio</x:v>
      </x:c>
      <x:c r="C10" s="65" t="str">
        <x:v>bietoline_da_taglio</x:v>
      </x:c>
      <x:c r="D10" s="65" t="str">
        <x:v>chard</x:v>
      </x:c>
      <x:c r="E10" s="65" t="str">
        <x:v>Chard</x:v>
      </x:c>
      <x:c r="F10" s="65" t="str">
        <x:v>Nome specie italiano dalla scheda coltivazione</x:v>
      </x:c>
    </x:row>
    <x:row r="11" ht="15" hidden="0" customHeight="1">
      <x:c r="A11" s="65" t="str">
        <x:v>bietola_da_radice</x:v>
      </x:c>
      <x:c r="B11" s="65" t="str">
        <x:v>Bietola da radice</x:v>
      </x:c>
      <x:c r="C11" s="65" t="str">
        <x:v>bietola_da_radice</x:v>
      </x:c>
      <x:c r="D11" s="65" t="str">
        <x:v>chard</x:v>
      </x:c>
      <x:c r="E11" s="65" t="str">
        <x:v>Chard</x:v>
      </x:c>
      <x:c r="F11" s="65" t="str">
        <x:v>Nome specie italiano dalla scheda coltivazione</x:v>
      </x:c>
    </x:row>
    <x:row r="12" ht="15" hidden="0" customHeight="1">
      <x:c r="A12" s="65" t="str">
        <x:v>carciofo</x:v>
      </x:c>
      <x:c r="B12" s="65" t="str">
        <x:v>Carciofo</x:v>
      </x:c>
      <x:c r="C12" s="65" t="str">
        <x:v>carciofo</x:v>
      </x:c>
      <x:c r="D12" s="65" t="str">
        <x:v>artichoke</x:v>
      </x:c>
      <x:c r="E12" s="65" t="str">
        <x:v>Artichoke</x:v>
      </x:c>
      <x:c r="F12" s="65" t="str">
        <x:v>Nome specie italiano dalla scheda coltivazione</x:v>
      </x:c>
    </x:row>
    <x:row r="13" ht="15" hidden="0" customHeight="1">
      <x:c r="A13" s="65" t="str">
        <x:v>cardo</x:v>
      </x:c>
      <x:c r="B13" s="65" t="str">
        <x:v>Cardo</x:v>
      </x:c>
      <x:c r="C13" s="65" t="str">
        <x:v>cardo</x:v>
      </x:c>
      <x:c r="D13" s="65" t="str">
        <x:v>cardoon</x:v>
      </x:c>
      <x:c r="E13" s="65" t="str">
        <x:v>Cardoon</x:v>
      </x:c>
      <x:c r="F13" s="65" t="str">
        <x:v>Nome specie italiano dalla scheda coltivazione</x:v>
      </x:c>
    </x:row>
    <x:row r="14" ht="15" hidden="0" customHeight="1">
      <x:c r="A14" s="65" t="str">
        <x:v>carota</x:v>
      </x:c>
      <x:c r="B14" s="65" t="str">
        <x:v>Carota</x:v>
      </x:c>
      <x:c r="C14" s="65" t="str">
        <x:v>carota</x:v>
      </x:c>
      <x:c r="D14" s="65" t="str">
        <x:v>carrots</x:v>
      </x:c>
      <x:c r="E14" s="65" t="str">
        <x:v>Carrots</x:v>
      </x:c>
      <x:c r="F14" s="65" t="str">
        <x:v>Nome specie italiano dalla scheda coltivazione</x:v>
      </x:c>
    </x:row>
    <x:row r="15" ht="15" hidden="0" customHeight="1">
      <x:c r="A15" s="65" t="str">
        <x:v>cavoli</x:v>
      </x:c>
      <x:c r="B15" s="65" t="str">
        <x:v>Cavoli</x:v>
      </x:c>
      <x:c r="C15" s="65" t="str">
        <x:v>cavoli</x:v>
      </x:c>
      <x:c r="D15" s="65" t="str">
        <x:v>cabbage</x:v>
      </x:c>
      <x:c r="E15" s="65" t="str">
        <x:v>Cabbage</x:v>
      </x:c>
      <x:c r="F15" s="65" t="str">
        <x:v>Nome specie italiano dalla scheda coltivazione</x:v>
      </x:c>
    </x:row>
    <x:row r="16" ht="15" hidden="0" customHeight="1">
      <x:c r="A16" s="65" t="str">
        <x:v>cavolo_rapa</x:v>
      </x:c>
      <x:c r="B16" s="65" t="str">
        <x:v>Cavolo rapa</x:v>
      </x:c>
      <x:c r="C16" s="65" t="str">
        <x:v>cavolo_rapa</x:v>
      </x:c>
      <x:c r="D16" s="65" t="str">
        <x:v>kohlrabi</x:v>
      </x:c>
      <x:c r="E16" s="65" t="str">
        <x:v>Kohlrabi</x:v>
      </x:c>
      <x:c r="F16" s="65" t="str">
        <x:v>Nome specie italiano dalla scheda coltivazione</x:v>
      </x:c>
    </x:row>
    <x:row r="17" ht="15" hidden="0" customHeight="1">
      <x:c r="A17" s="65" t="str">
        <x:v>cece</x:v>
      </x:c>
      <x:c r="B17" s="65" t="str">
        <x:v>Cece</x:v>
      </x:c>
      <x:c r="C17" s="65" t="str">
        <x:v>cece</x:v>
      </x:c>
      <x:c r="D17" s="65" t="str">
        <x:v>legumes</x:v>
      </x:c>
      <x:c r="E17" s="65" t="str">
        <x:v>Legumes</x:v>
      </x:c>
      <x:c r="F17" s="65" t="str">
        <x:v>Nome specie italiano dalla scheda coltivazione</x:v>
      </x:c>
    </x:row>
    <x:row r="18" ht="15" hidden="0" customHeight="1">
      <x:c r="A18" s="65" t="str">
        <x:v>cetriolo</x:v>
      </x:c>
      <x:c r="B18" s="65" t="str">
        <x:v>Cetriolo</x:v>
      </x:c>
      <x:c r="C18" s="65" t="str">
        <x:v>cetriolo</x:v>
      </x:c>
      <x:c r="D18" s="65" t="str">
        <x:v>cucumber</x:v>
      </x:c>
      <x:c r="E18" s="65" t="str">
        <x:v>Cucumber</x:v>
      </x:c>
      <x:c r="F18" s="65" t="str">
        <x:v>Nome specie italiano dalla scheda coltivazione</x:v>
      </x:c>
    </x:row>
    <x:row r="19" ht="15" hidden="0" customHeight="1">
      <x:c r="A19" s="65" t="str">
        <x:v>cicorie_da_cespo</x:v>
      </x:c>
      <x:c r="B19" s="65" t="str">
        <x:v>Cicorie da cespo</x:v>
      </x:c>
      <x:c r="C19" s="65" t="str">
        <x:v>cicorie_da_cespo</x:v>
      </x:c>
      <x:c r="D19" s="65" t="str">
        <x:v>chicory</x:v>
      </x:c>
      <x:c r="E19" s="65" t="str">
        <x:v>Chicory</x:v>
      </x:c>
      <x:c r="F19" s="65" t="str">
        <x:v>Nome specie italiano dalla scheda coltivazione</x:v>
      </x:c>
    </x:row>
    <x:row r="20" ht="15" hidden="0" customHeight="1">
      <x:c r="A20" s="65" t="str">
        <x:v>cipolla</x:v>
      </x:c>
      <x:c r="B20" s="65" t="str">
        <x:v>Cipolla</x:v>
      </x:c>
      <x:c r="C20" s="65" t="str">
        <x:v>cipolla</x:v>
      </x:c>
      <x:c r="D20" s="65" t="str">
        <x:v>onion</x:v>
      </x:c>
      <x:c r="E20" s="65" t="str">
        <x:v>Onion</x:v>
      </x:c>
      <x:c r="F20" s="65" t="str">
        <x:v>Nome specie italiano dalla scheda coltivazione</x:v>
      </x:c>
    </x:row>
    <x:row r="21" ht="15" hidden="0" customHeight="1">
      <x:c r="A21" s="65" t="str">
        <x:v>cipollotto</x:v>
      </x:c>
      <x:c r="B21" s="65" t="str">
        <x:v>Cipollotto</x:v>
      </x:c>
      <x:c r="C21" s="65" t="str">
        <x:v>cipollotto</x:v>
      </x:c>
      <x:c r="D21" s="65" t="str">
        <x:v>onion</x:v>
      </x:c>
      <x:c r="E21" s="65" t="str">
        <x:v>Onion</x:v>
      </x:c>
      <x:c r="F21" s="65" t="str">
        <x:v>Nome specie italiano dalla scheda coltivazione</x:v>
      </x:c>
    </x:row>
    <x:row r="22" ht="15" hidden="0" customHeight="1">
      <x:c r="A22" s="65" t="str">
        <x:v>indivia_riccia_e_scarola</x:v>
      </x:c>
      <x:c r="B22" s="65" t="str">
        <x:v>Indivia riccia e scarola</x:v>
      </x:c>
      <x:c r="C22" s="65" t="str">
        <x:v>indivia_riccia_e_scarola</x:v>
      </x:c>
      <x:c r="D22" s="65" t="str">
        <x:v>endive</x:v>
      </x:c>
      <x:c r="E22" s="65" t="str">
        <x:v>Endive</x:v>
      </x:c>
      <x:c r="F22" s="65" t="str">
        <x:v>Nome specie italiano dalla scheda coltivazione</x:v>
      </x:c>
    </x:row>
    <x:row r="23" ht="15" hidden="0" customHeight="1">
      <x:c r="A23" s="65" t="str">
        <x:v>fagiolo_e_fagiolino</x:v>
      </x:c>
      <x:c r="B23" s="65" t="str">
        <x:v>Fagiolo e fagiolino</x:v>
      </x:c>
      <x:c r="C23" s="65" t="str">
        <x:v>fagiolo_e_fagiolino</x:v>
      </x:c>
      <x:c r="D23" s="65" t="str">
        <x:v>beans_bush</x:v>
      </x:c>
      <x:c r="E23" s="65" t="str">
        <x:v>Beans, bush</x:v>
      </x:c>
      <x:c r="F23" s="65" t="str">
        <x:v>Nome specie italiano dalla scheda coltivazione</x:v>
      </x:c>
    </x:row>
    <x:row r="24" ht="15" hidden="0" customHeight="1">
      <x:c r="A24" s="65" t="str">
        <x:v>fava</x:v>
      </x:c>
      <x:c r="B24" s="65" t="str">
        <x:v>Fava</x:v>
      </x:c>
      <x:c r="C24" s="65" t="str">
        <x:v>fava</x:v>
      </x:c>
      <x:c r="D24" s="65" t="str">
        <x:v>beans_fava</x:v>
      </x:c>
      <x:c r="E24" s="65" t="str">
        <x:v>Beans, fava</x:v>
      </x:c>
      <x:c r="F24" s="65" t="str">
        <x:v>Nome specie italiano dalla scheda coltivazione</x:v>
      </x:c>
    </x:row>
    <x:row r="25" ht="15" hidden="0" customHeight="1">
      <x:c r="A25" s="65" t="str">
        <x:v>finocchio</x:v>
      </x:c>
      <x:c r="B25" s="65" t="str">
        <x:v>Finocchio</x:v>
      </x:c>
      <x:c r="C25" s="65" t="str">
        <x:v>finocchio</x:v>
      </x:c>
      <x:c r="D25" s="65" t="str">
        <x:v>fennel</x:v>
      </x:c>
      <x:c r="E25" s="65" t="str">
        <x:v>Fennel</x:v>
      </x:c>
      <x:c r="F25" s="65" t="str">
        <x:v>Nome specie italiano dalla scheda coltivazione</x:v>
      </x:c>
    </x:row>
    <x:row r="26" ht="15" hidden="0" customHeight="1">
      <x:c r="A26" s="65" t="str">
        <x:v>fragola</x:v>
      </x:c>
      <x:c r="B26" s="65" t="str">
        <x:v>Fragola</x:v>
      </x:c>
      <x:c r="C26" s="65" t="str">
        <x:v>fragola</x:v>
      </x:c>
      <x:c r="D26" s="65" t="str">
        <x:v>strawberry</x:v>
      </x:c>
      <x:c r="E26" s="65" t="str">
        <x:v>Strawberry</x:v>
      </x:c>
      <x:c r="F26" s="65" t="str">
        <x:v>Nome specie italiano dalla scheda coltivazione</x:v>
      </x:c>
    </x:row>
    <x:row r="27" ht="15" hidden="0" customHeight="1">
      <x:c r="A27" s="65" t="str">
        <x:v>lattuga</x:v>
      </x:c>
      <x:c r="B27" s="65" t="str">
        <x:v>Lattuga</x:v>
      </x:c>
      <x:c r="C27" s="65" t="str">
        <x:v>lattuga</x:v>
      </x:c>
      <x:c r="D27" s="65" t="str">
        <x:v>lettuce</x:v>
      </x:c>
      <x:c r="E27" s="65" t="str">
        <x:v>Lettuce</x:v>
      </x:c>
      <x:c r="F27" s="65" t="str">
        <x:v>Nome specie italiano dalla scheda coltivazione</x:v>
      </x:c>
    </x:row>
    <x:row r="28" ht="15" hidden="0" customHeight="1">
      <x:c r="A28" s="65" t="str">
        <x:v>lattughini_da_taglio</x:v>
      </x:c>
      <x:c r="B28" s="65" t="str">
        <x:v>Lattughini da taglio</x:v>
      </x:c>
      <x:c r="C28" s="65" t="str">
        <x:v>lattughini_da_taglio</x:v>
      </x:c>
      <x:c r="D28" s="65" t="str">
        <x:v>lettuce</x:v>
      </x:c>
      <x:c r="E28" s="65" t="str">
        <x:v>Lettuce</x:v>
      </x:c>
      <x:c r="F28" s="65" t="str">
        <x:v>Nome specie italiano dalla scheda coltivazione</x:v>
      </x:c>
    </x:row>
    <x:row r="29" ht="15" hidden="0" customHeight="1">
      <x:c r="A29" s="65" t="str">
        <x:v>mais_dolce</x:v>
      </x:c>
      <x:c r="B29" s="65" t="str">
        <x:v>Mais dolce</x:v>
      </x:c>
      <x:c r="C29" s="65" t="str">
        <x:v>mais_dolce</x:v>
      </x:c>
      <x:c r="D29" s="65" t="str">
        <x:v>corn_maize</x:v>
      </x:c>
      <x:c r="E29" s="65" t="str">
        <x:v>Corn / Maize</x:v>
      </x:c>
      <x:c r="F29" s="65" t="str">
        <x:v>Nome specie italiano dalla scheda coltivazione</x:v>
      </x:c>
    </x:row>
    <x:row r="30" ht="15" hidden="0" customHeight="1">
      <x:c r="A30" s="65" t="str">
        <x:v>melanzana</x:v>
      </x:c>
      <x:c r="B30" s="65" t="str">
        <x:v>Melanzana</x:v>
      </x:c>
      <x:c r="C30" s="65" t="str">
        <x:v>melanzana</x:v>
      </x:c>
      <x:c r="D30" s="65" t="str">
        <x:v>eggplant_or_aubergine</x:v>
      </x:c>
      <x:c r="E30" s="65" t="str">
        <x:v>Eggplant or Aubergine</x:v>
      </x:c>
      <x:c r="F30" s="65" t="str">
        <x:v>Nome specie italiano dalla scheda coltivazione</x:v>
      </x:c>
    </x:row>
    <x:row r="31" ht="15" hidden="0" customHeight="1">
      <x:c r="A31" s="65" t="str">
        <x:v>melone</x:v>
      </x:c>
      <x:c r="B31" s="65" t="str">
        <x:v>Melone</x:v>
      </x:c>
      <x:c r="C31" s="65" t="str">
        <x:v>melone</x:v>
      </x:c>
      <x:c r="D31" s="65" t="str">
        <x:v>melon</x:v>
      </x:c>
      <x:c r="E31" s="65" t="str">
        <x:v>Melon</x:v>
      </x:c>
      <x:c r="F31" s="65" t="str">
        <x:v>Nome specie italiano dalla scheda coltivazione</x:v>
      </x:c>
    </x:row>
    <x:row r="32" ht="15" hidden="0" customHeight="1">
      <x:c r="A32" s="65" t="str">
        <x:v>okra</x:v>
      </x:c>
      <x:c r="B32" s="65" t="str">
        <x:v>Okra</x:v>
      </x:c>
      <x:c r="C32" s="65" t="str">
        <x:v>okra</x:v>
      </x:c>
      <x:c r="D32" s="65" t="str">
        <x:v>okra</x:v>
      </x:c>
      <x:c r="E32" s="65" t="str">
        <x:v>Okra</x:v>
      </x:c>
      <x:c r="F32" s="65" t="str">
        <x:v>Nome specie italiano dalla scheda coltivazione</x:v>
      </x:c>
    </x:row>
    <x:row r="33" ht="15" hidden="0" customHeight="1">
      <x:c r="A33" s="65" t="str">
        <x:v>patata</x:v>
      </x:c>
      <x:c r="B33" s="65" t="str">
        <x:v>Patata</x:v>
      </x:c>
      <x:c r="C33" s="65" t="str">
        <x:v>patata</x:v>
      </x:c>
      <x:c r="D33" s="65" t="str">
        <x:v>potato</x:v>
      </x:c>
      <x:c r="E33" s="65" t="str">
        <x:v>Potato</x:v>
      </x:c>
      <x:c r="F33" s="65" t="str">
        <x:v>Nome specie italiano dalla scheda coltivazione</x:v>
      </x:c>
    </x:row>
    <x:row r="34" ht="15" hidden="0" customHeight="1">
      <x:c r="A34" s="65" t="str">
        <x:v>peperone</x:v>
      </x:c>
      <x:c r="B34" s="65" t="str">
        <x:v>Peperone</x:v>
      </x:c>
      <x:c r="C34" s="65" t="str">
        <x:v>peperone</x:v>
      </x:c>
      <x:c r="D34" s="65" t="str">
        <x:v>peppers</x:v>
      </x:c>
      <x:c r="E34" s="65" t="str">
        <x:v>Peppers</x:v>
      </x:c>
      <x:c r="F34" s="65" t="str">
        <x:v>Nome specie italiano dalla scheda coltivazione</x:v>
      </x:c>
    </x:row>
    <x:row r="35" ht="15" hidden="0" customHeight="1">
      <x:c r="A35" s="65" t="str">
        <x:v>piselli</x:v>
      </x:c>
      <x:c r="B35" s="65" t="str">
        <x:v>Piselli</x:v>
      </x:c>
      <x:c r="C35" s="65" t="str">
        <x:v>piselli</x:v>
      </x:c>
      <x:c r="D35" s="65" t="str">
        <x:v>peas</x:v>
      </x:c>
      <x:c r="E35" s="65" t="str">
        <x:v>Peas</x:v>
      </x:c>
      <x:c r="F35" s="65" t="str">
        <x:v>Nome specie italiano dalla scheda coltivazione</x:v>
      </x:c>
    </x:row>
    <x:row r="36" ht="15" hidden="0" customHeight="1">
      <x:c r="A36" s="65" t="str">
        <x:v>pomodoro</x:v>
      </x:c>
      <x:c r="B36" s="65" t="str">
        <x:v>Pomodoro</x:v>
      </x:c>
      <x:c r="C36" s="65" t="str">
        <x:v>pomodoro</x:v>
      </x:c>
      <x:c r="D36" s="65" t="str">
        <x:v>tomatoes</x:v>
      </x:c>
      <x:c r="E36" s="65" t="str">
        <x:v>Tomatoes</x:v>
      </x:c>
      <x:c r="F36" s="65" t="str">
        <x:v>Nome specie italiano dalla scheda coltivazione</x:v>
      </x:c>
    </x:row>
    <x:row r="37" ht="15" hidden="0" customHeight="1">
      <x:c r="A37" s="65" t="str">
        <x:v>porro</x:v>
      </x:c>
      <x:c r="B37" s="65" t="str">
        <x:v>Porro</x:v>
      </x:c>
      <x:c r="C37" s="65" t="str">
        <x:v>porro</x:v>
      </x:c>
      <x:c r="D37" s="65" t="str">
        <x:v>leek</x:v>
      </x:c>
      <x:c r="E37" s="65" t="str">
        <x:v>Leek</x:v>
      </x:c>
      <x:c r="F37" s="65" t="str">
        <x:v>Nome specie italiano dalla scheda coltivazione</x:v>
      </x:c>
    </x:row>
    <x:row r="38" ht="15" hidden="0" customHeight="1">
      <x:c r="A38" s="65" t="str">
        <x:v>prezzemolo</x:v>
      </x:c>
      <x:c r="B38" s="65" t="str">
        <x:v>Prezzemolo</x:v>
      </x:c>
      <x:c r="C38" s="65" t="str">
        <x:v>prezzemolo</x:v>
      </x:c>
      <x:c r="D38" s="65" t="str">
        <x:v>parsley</x:v>
      </x:c>
      <x:c r="E38" s="65" t="str">
        <x:v>Parsley</x:v>
      </x:c>
      <x:c r="F38" s="65" t="str">
        <x:v>Nome specie italiano dalla scheda coltivazione</x:v>
      </x:c>
    </x:row>
    <x:row r="39" ht="15" hidden="0" customHeight="1">
      <x:c r="A39" s="65" t="str">
        <x:v>ravanello</x:v>
      </x:c>
      <x:c r="B39" s="65" t="str">
        <x:v>Ravanello</x:v>
      </x:c>
      <x:c r="C39" s="65" t="str">
        <x:v>ravanello</x:v>
      </x:c>
      <x:c r="D39" s="65" t="str">
        <x:v>radish</x:v>
      </x:c>
      <x:c r="E39" s="65" t="str">
        <x:v>Radish</x:v>
      </x:c>
      <x:c r="F39" s="65" t="str">
        <x:v>Nome specie italiano dalla scheda coltivazione</x:v>
      </x:c>
    </x:row>
    <x:row r="40" ht="15" hidden="0" customHeight="1">
      <x:c r="A40" s="65" t="str">
        <x:v>rucola</x:v>
      </x:c>
      <x:c r="B40" s="65" t="str">
        <x:v>Rucola</x:v>
      </x:c>
      <x:c r="C40" s="65" t="str">
        <x:v>rucola</x:v>
      </x:c>
      <x:c r="D40" s="65" t="str">
        <x:v>arugula</x:v>
      </x:c>
      <x:c r="E40" s="65" t="str">
        <x:v>Arugula</x:v>
      </x:c>
      <x:c r="F40" s="65" t="str">
        <x:v>Nome specie italiano dalla scheda coltivazione</x:v>
      </x:c>
    </x:row>
    <x:row r="41" ht="15" hidden="0" customHeight="1">
      <x:c r="A41" s="65" t="str">
        <x:v>scalogno</x:v>
      </x:c>
      <x:c r="B41" s="65" t="str">
        <x:v>Scalogno</x:v>
      </x:c>
      <x:c r="C41" s="65" t="str">
        <x:v>scalogno</x:v>
      </x:c>
      <x:c r="D41" s="65" t="str">
        <x:v>alliums</x:v>
      </x:c>
      <x:c r="E41" s="65" t="str">
        <x:v>Alliums</x:v>
      </x:c>
      <x:c r="F41" s="65" t="str">
        <x:v>Nome specie italiano dalla scheda coltivazione</x:v>
      </x:c>
    </x:row>
    <x:row r="42" ht="15" hidden="0" customHeight="1">
      <x:c r="A42" s="65" t="str">
        <x:v>sedano</x:v>
      </x:c>
      <x:c r="B42" s="65" t="str">
        <x:v>Sedano</x:v>
      </x:c>
      <x:c r="C42" s="65" t="str">
        <x:v>sedano</x:v>
      </x:c>
      <x:c r="D42" s="65" t="str">
        <x:v>celery</x:v>
      </x:c>
      <x:c r="E42" s="65" t="str">
        <x:v>Celery</x:v>
      </x:c>
      <x:c r="F42" s="65" t="str">
        <x:v>Nome specie italiano dalla scheda coltivazione</x:v>
      </x:c>
    </x:row>
    <x:row r="43" ht="15" hidden="0" customHeight="1">
      <x:c r="A43" s="65" t="str">
        <x:v>spinacio</x:v>
      </x:c>
      <x:c r="B43" s="65" t="str">
        <x:v>Spinacio</x:v>
      </x:c>
      <x:c r="C43" s="65" t="str">
        <x:v>spinacio</x:v>
      </x:c>
      <x:c r="D43" s="65" t="str">
        <x:v>spinach</x:v>
      </x:c>
      <x:c r="E43" s="65" t="str">
        <x:v>Spinach</x:v>
      </x:c>
      <x:c r="F43" s="65" t="str">
        <x:v>Nome specie italiano dalla scheda coltivazione</x:v>
      </x:c>
    </x:row>
    <x:row r="44" ht="15" hidden="0" customHeight="1">
      <x:c r="A44" s="65" t="str">
        <x:v>valeriana</x:v>
      </x:c>
      <x:c r="B44" s="65" t="str">
        <x:v>Valeriana</x:v>
      </x:c>
      <x:c r="C44" s="65" t="str">
        <x:v>valeriana</x:v>
      </x:c>
      <x:c r="D44" s="65" t="str">
        <x:v>corn_salad</x:v>
      </x:c>
      <x:c r="E44" s="65" t="str">
        <x:v>Corn salad</x:v>
      </x:c>
      <x:c r="F44" s="65" t="str">
        <x:v>Nome specie italiano dalla scheda coltivazione</x:v>
      </x:c>
    </x:row>
    <x:row r="45" ht="15" hidden="0" customHeight="1">
      <x:c r="A45" s="65" t="str">
        <x:v>zucca</x:v>
      </x:c>
      <x:c r="B45" s="65" t="str">
        <x:v>Zucca</x:v>
      </x:c>
      <x:c r="C45" s="65" t="str">
        <x:v>zucca</x:v>
      </x:c>
      <x:c r="D45" s="65" t="str">
        <x:v>pumpkin</x:v>
      </x:c>
      <x:c r="E45" s="65" t="str">
        <x:v>Pumpkin</x:v>
      </x:c>
      <x:c r="F45" s="65" t="str">
        <x:v>Nome specie italiano dalla scheda coltivazione</x:v>
      </x:c>
    </x:row>
    <x:row r="46" ht="15" hidden="0" customHeight="1">
      <x:c r="A46" s="65" t="str">
        <x:v>zucchino</x:v>
      </x:c>
      <x:c r="B46" s="65" t="str">
        <x:v>Zucchino</x:v>
      </x:c>
      <x:c r="C46" s="65" t="str">
        <x:v>zucchino</x:v>
      </x:c>
      <x:c r="D46" s="65" t="str">
        <x:v>squash</x:v>
      </x:c>
      <x:c r="E46" s="65" t="str">
        <x:v>Squash</x:v>
      </x:c>
      <x:c r="F46" s="65" t="str">
        <x:v>Nome specie italiano dalla scheda coltivazione</x:v>
      </x:c>
    </x:row>
    <x:row r="47" ht="15" hidden="0" customHeight="1">
      <x:c r="A47" s="65" t="str">
        <x:v>allium_gruppo</x:v>
      </x:c>
      <x:c r="B47" s="65" t="str">
        <x:v>Allium (gruppo)</x:v>
      </x:c>
      <x:c r="C47" s="65" t="str"/>
      <x:c r="D47" s="65" t="str">
        <x:v>alliums</x:v>
      </x:c>
      <x:c r="E47" s="65" t="str">
        <x:v>Alliums</x:v>
      </x:c>
      <x:c r="F47" s="65" t="str">
        <x:v>Traduzione italiana dell'entità della matrice</x:v>
      </x:c>
    </x:row>
    <x:row r="48" ht="15" hidden="0" customHeight="1">
      <x:c r="A48" s="65" t="str">
        <x:v>asparago</x:v>
      </x:c>
      <x:c r="B48" s="65" t="str">
        <x:v>Asparago</x:v>
      </x:c>
      <x:c r="C48" s="65" t="str"/>
      <x:c r="D48" s="65" t="str">
        <x:v>asparagus</x:v>
      </x:c>
      <x:c r="E48" s="65" t="str">
        <x:v>Asparagus</x:v>
      </x:c>
      <x:c r="F48" s="65" t="str">
        <x:v>Traduzione italiana dell'entità della matrice</x:v>
      </x:c>
    </x:row>
    <x:row r="49" ht="15" hidden="0" customHeight="1">
      <x:c r="A49" s="65" t="str">
        <x:v>fagiolo_nano</x:v>
      </x:c>
      <x:c r="B49" s="65" t="str">
        <x:v>Fagiolo nano</x:v>
      </x:c>
      <x:c r="C49" s="65" t="str"/>
      <x:c r="D49" s="65" t="str">
        <x:v>beans_bush</x:v>
      </x:c>
      <x:c r="E49" s="65" t="str">
        <x:v>Beans, bush</x:v>
      </x:c>
      <x:c r="F49" s="65" t="str">
        <x:v>Traduzione italiana dell'entità della matrice</x:v>
      </x:c>
    </x:row>
    <x:row r="50" ht="15" hidden="0" customHeight="1">
      <x:c r="A50" s="65" t="str">
        <x:v>fagiolo_rampicante</x:v>
      </x:c>
      <x:c r="B50" s="65" t="str">
        <x:v>Fagiolo rampicante</x:v>
      </x:c>
      <x:c r="C50" s="65" t="str"/>
      <x:c r="D50" s="65" t="str">
        <x:v>beans_pole</x:v>
      </x:c>
      <x:c r="E50" s="65" t="str">
        <x:v>Beans, pole</x:v>
      </x:c>
      <x:c r="F50" s="65" t="str">
        <x:v>Traduzione italiana dell'entità della matrice</x:v>
      </x:c>
    </x:row>
    <x:row r="51" ht="15" hidden="0" customHeight="1">
      <x:c r="A51" s="65" t="str">
        <x:v>fava</x:v>
      </x:c>
      <x:c r="B51" s="65" t="str">
        <x:v>Fava</x:v>
      </x:c>
      <x:c r="C51" s="65" t="str"/>
      <x:c r="D51" s="65" t="str">
        <x:v>beans_fava</x:v>
      </x:c>
      <x:c r="E51" s="65" t="str">
        <x:v>Beans, fava</x:v>
      </x:c>
      <x:c r="F51" s="65" t="str">
        <x:v>Traduzione italiana dell'entità della matrice</x:v>
      </x:c>
    </x:row>
    <x:row r="52" ht="15" hidden="0" customHeight="1">
      <x:c r="A52" s="65" t="str">
        <x:v>barbabietola</x:v>
      </x:c>
      <x:c r="B52" s="65" t="str">
        <x:v>Barbabietola</x:v>
      </x:c>
      <x:c r="C52" s="65" t="str"/>
      <x:c r="D52" s="65" t="str">
        <x:v>beets</x:v>
      </x:c>
      <x:c r="E52" s="65" t="str">
        <x:v>Beets</x:v>
      </x:c>
      <x:c r="F52" s="65" t="str">
        <x:v>Traduzione italiana dell'entità della matrice</x:v>
      </x:c>
    </x:row>
    <x:row r="53" ht="15" hidden="0" customHeight="1">
      <x:c r="A53" s="65" t="str">
        <x:v>brassicacee_gruppo</x:v>
      </x:c>
      <x:c r="B53" s="65" t="str">
        <x:v>Brassicacee (gruppo)</x:v>
      </x:c>
      <x:c r="C53" s="65" t="str"/>
      <x:c r="D53" s="65" t="str">
        <x:v>brassicas</x:v>
      </x:c>
      <x:c r="E53" s="65" t="str">
        <x:v>Brassicas</x:v>
      </x:c>
      <x:c r="F53" s="65" t="str">
        <x:v>Traduzione italiana dell'entità della matrice</x:v>
      </x:c>
    </x:row>
    <x:row r="54" ht="15" hidden="0" customHeight="1">
      <x:c r="A54" s="65" t="str">
        <x:v>broccolo</x:v>
      </x:c>
      <x:c r="B54" s="65" t="str">
        <x:v>Broccolo</x:v>
      </x:c>
      <x:c r="C54" s="65" t="str"/>
      <x:c r="D54" s="65" t="str">
        <x:v>broccoli</x:v>
      </x:c>
      <x:c r="E54" s="65" t="str">
        <x:v>Broccoli</x:v>
      </x:c>
      <x:c r="F54" s="65" t="str">
        <x:v>Traduzione italiana dell'entità della matrice</x:v>
      </x:c>
    </x:row>
    <x:row r="55" ht="15" hidden="0" customHeight="1">
      <x:c r="A55" s="65" t="str">
        <x:v>cavoletti_di_bruxelles</x:v>
      </x:c>
      <x:c r="B55" s="65" t="str">
        <x:v>Cavoletti di Bruxelles</x:v>
      </x:c>
      <x:c r="C55" s="65" t="str"/>
      <x:c r="D55" s="65" t="str">
        <x:v>brussels_sprouts</x:v>
      </x:c>
      <x:c r="E55" s="65" t="str">
        <x:v>Brussels sprouts</x:v>
      </x:c>
      <x:c r="F55" s="65" t="str">
        <x:v>Traduzione italiana dell'entità della matrice</x:v>
      </x:c>
    </x:row>
    <x:row r="56" ht="15" hidden="0" customHeight="1">
      <x:c r="A56" s="65" t="str">
        <x:v>cavolo</x:v>
      </x:c>
      <x:c r="B56" s="65" t="str">
        <x:v>Cavolo</x:v>
      </x:c>
      <x:c r="C56" s="65" t="str"/>
      <x:c r="D56" s="65" t="str">
        <x:v>cabbage</x:v>
      </x:c>
      <x:c r="E56" s="65" t="str">
        <x:v>Cabbage</x:v>
      </x:c>
      <x:c r="F56" s="65" t="str">
        <x:v>Traduzione italiana dell'entità della matrice</x:v>
      </x:c>
    </x:row>
    <x:row r="57" ht="15" hidden="0" customHeight="1">
      <x:c r="A57" s="65" t="str">
        <x:v>carota</x:v>
      </x:c>
      <x:c r="B57" s="65" t="str">
        <x:v>Carota</x:v>
      </x:c>
      <x:c r="C57" s="65" t="str"/>
      <x:c r="D57" s="65" t="str">
        <x:v>carrots</x:v>
      </x:c>
      <x:c r="E57" s="65" t="str">
        <x:v>Carrots</x:v>
      </x:c>
      <x:c r="F57" s="65" t="str">
        <x:v>Traduzione italiana dell'entità della matrice</x:v>
      </x:c>
    </x:row>
    <x:row r="58" ht="15" hidden="0" customHeight="1">
      <x:c r="A58" s="65" t="str">
        <x:v>cavolfiore</x:v>
      </x:c>
      <x:c r="B58" s="65" t="str">
        <x:v>Cavolfiore</x:v>
      </x:c>
      <x:c r="C58" s="65" t="str"/>
      <x:c r="D58" s="65" t="str">
        <x:v>cauliflower</x:v>
      </x:c>
      <x:c r="E58" s="65" t="str">
        <x:v>Cauliflower</x:v>
      </x:c>
      <x:c r="F58" s="65" t="str">
        <x:v>Traduzione italiana dell'entità della matrice</x:v>
      </x:c>
    </x:row>
    <x:row r="59" ht="15" hidden="0" customHeight="1">
      <x:c r="A59" s="65" t="str">
        <x:v>sedano</x:v>
      </x:c>
      <x:c r="B59" s="65" t="str">
        <x:v>Sedano</x:v>
      </x:c>
      <x:c r="C59" s="65" t="str"/>
      <x:c r="D59" s="65" t="str">
        <x:v>celery</x:v>
      </x:c>
      <x:c r="E59" s="65" t="str">
        <x:v>Celery</x:v>
      </x:c>
      <x:c r="F59" s="65" t="str">
        <x:v>Traduzione italiana dell'entità della matrice</x:v>
      </x:c>
    </x:row>
    <x:row r="60" ht="15" hidden="0" customHeight="1">
      <x:c r="A60" s="65" t="str">
        <x:v>bietola</x:v>
      </x:c>
      <x:c r="B60" s="65" t="str">
        <x:v>Bietola</x:v>
      </x:c>
      <x:c r="C60" s="65" t="str"/>
      <x:c r="D60" s="65" t="str">
        <x:v>chard</x:v>
      </x:c>
      <x:c r="E60" s="65" t="str">
        <x:v>Chard</x:v>
      </x:c>
      <x:c r="F60" s="65" t="str">
        <x:v>Traduzione italiana dell'entità della matrice</x:v>
      </x:c>
    </x:row>
    <x:row r="61" ht="15" hidden="0" customHeight="1">
      <x:c r="A61" s="65" t="str">
        <x:v>mais</x:v>
      </x:c>
      <x:c r="B61" s="65" t="str">
        <x:v>Mais</x:v>
      </x:c>
      <x:c r="C61" s="65" t="str"/>
      <x:c r="D61" s="65" t="str">
        <x:v>corn_maize</x:v>
      </x:c>
      <x:c r="E61" s="65" t="str">
        <x:v>Corn / Maize</x:v>
      </x:c>
      <x:c r="F61" s="65" t="str">
        <x:v>Traduzione italiana dell'entità della matrice</x:v>
      </x:c>
    </x:row>
    <x:row r="62" ht="15" hidden="0" customHeight="1">
      <x:c r="A62" s="65" t="str">
        <x:v>cetriolo</x:v>
      </x:c>
      <x:c r="B62" s="65" t="str">
        <x:v>Cetriolo</x:v>
      </x:c>
      <x:c r="C62" s="65" t="str"/>
      <x:c r="D62" s="65" t="str">
        <x:v>cucumber</x:v>
      </x:c>
      <x:c r="E62" s="65" t="str">
        <x:v>Cucumber</x:v>
      </x:c>
      <x:c r="F62" s="65" t="str">
        <x:v>Traduzione italiana dell'entità della matrice</x:v>
      </x:c>
    </x:row>
    <x:row r="63" ht="15" hidden="0" customHeight="1">
      <x:c r="A63" s="65" t="str">
        <x:v>cucurbitacee_gruppo</x:v>
      </x:c>
      <x:c r="B63" s="65" t="str">
        <x:v>Cucurbitacee (gruppo)</x:v>
      </x:c>
      <x:c r="C63" s="65" t="str"/>
      <x:c r="D63" s="65" t="str">
        <x:v>cucurbits</x:v>
      </x:c>
      <x:c r="E63" s="65" t="str">
        <x:v>Cucurbits</x:v>
      </x:c>
      <x:c r="F63" s="65" t="str">
        <x:v>Traduzione italiana dell'entità della matrice</x:v>
      </x:c>
    </x:row>
    <x:row r="64" ht="15" hidden="0" customHeight="1">
      <x:c r="A64" s="65" t="str">
        <x:v>melanzana</x:v>
      </x:c>
      <x:c r="B64" s="65" t="str">
        <x:v>Melanzana</x:v>
      </x:c>
      <x:c r="C64" s="65" t="str"/>
      <x:c r="D64" s="65" t="str">
        <x:v>eggplant_or_aubergine</x:v>
      </x:c>
      <x:c r="E64" s="65" t="str">
        <x:v>Eggplant or Aubergine</x:v>
      </x:c>
      <x:c r="F64" s="65" t="str">
        <x:v>Traduzione italiana dell'entità della matrice</x:v>
      </x:c>
    </x:row>
    <x:row r="65" ht="15" hidden="0" customHeight="1">
      <x:c r="A65" s="65" t="str">
        <x:v>cavolo_rapa</x:v>
      </x:c>
      <x:c r="B65" s="65" t="str">
        <x:v>Cavolo rapa</x:v>
      </x:c>
      <x:c r="C65" s="65" t="str"/>
      <x:c r="D65" s="65" t="str">
        <x:v>kohlrabi</x:v>
      </x:c>
      <x:c r="E65" s="65" t="str">
        <x:v>Kohlrabi</x:v>
      </x:c>
      <x:c r="F65" s="65" t="str">
        <x:v>Traduzione italiana dell'entità della matrice</x:v>
      </x:c>
    </x:row>
    <x:row r="66" ht="15" hidden="0" customHeight="1">
      <x:c r="A66" s="65" t="str">
        <x:v>porro</x:v>
      </x:c>
      <x:c r="B66" s="65" t="str">
        <x:v>Porro</x:v>
      </x:c>
      <x:c r="C66" s="65" t="str"/>
      <x:c r="D66" s="65" t="str">
        <x:v>leek</x:v>
      </x:c>
      <x:c r="E66" s="65" t="str">
        <x:v>Leek</x:v>
      </x:c>
      <x:c r="F66" s="65" t="str">
        <x:v>Traduzione italiana dell'entità della matrice</x:v>
      </x:c>
    </x:row>
    <x:row r="67" ht="15" hidden="0" customHeight="1">
      <x:c r="A67" s="65" t="str">
        <x:v>leguminose_gruppo</x:v>
      </x:c>
      <x:c r="B67" s="65" t="str">
        <x:v>Leguminose (gruppo)</x:v>
      </x:c>
      <x:c r="C67" s="65" t="str"/>
      <x:c r="D67" s="65" t="str">
        <x:v>legumes</x:v>
      </x:c>
      <x:c r="E67" s="65" t="str">
        <x:v>Legumes</x:v>
      </x:c>
      <x:c r="F67" s="65" t="str">
        <x:v>Traduzione italiana dell'entità della matrice</x:v>
      </x:c>
    </x:row>
    <x:row r="68" ht="15" hidden="0" customHeight="1">
      <x:c r="A68" s="65" t="str">
        <x:v>lattuga</x:v>
      </x:c>
      <x:c r="B68" s="65" t="str">
        <x:v>Lattuga</x:v>
      </x:c>
      <x:c r="C68" s="65" t="str"/>
      <x:c r="D68" s="65" t="str">
        <x:v>lettuce</x:v>
      </x:c>
      <x:c r="E68" s="65" t="str">
        <x:v>Lettuce</x:v>
      </x:c>
      <x:c r="F68" s="65" t="str">
        <x:v>Traduzione italiana dell'entità della matrice</x:v>
      </x:c>
    </x:row>
    <x:row r="69" ht="15" hidden="0" customHeight="1">
      <x:c r="A69" s="65" t="str">
        <x:v>senape</x:v>
      </x:c>
      <x:c r="B69" s="65" t="str">
        <x:v>Senape</x:v>
      </x:c>
      <x:c r="C69" s="65" t="str"/>
      <x:c r="D69" s="65" t="str">
        <x:v>mustard</x:v>
      </x:c>
      <x:c r="E69" s="65" t="str">
        <x:v>Mustard</x:v>
      </x:c>
      <x:c r="F69" s="65" t="str">
        <x:v>Traduzione italiana dell'entità della matrice</x:v>
      </x:c>
    </x:row>
    <x:row r="70" ht="15" hidden="0" customHeight="1">
      <x:c r="A70" s="65" t="str">
        <x:v>solanacee_gruppo</x:v>
      </x:c>
      <x:c r="B70" s="65" t="str">
        <x:v>Solanacee (gruppo)</x:v>
      </x:c>
      <x:c r="C70" s="65" t="str"/>
      <x:c r="D70" s="65" t="str">
        <x:v>nightshades</x:v>
      </x:c>
      <x:c r="E70" s="65" t="str">
        <x:v>Nightshades</x:v>
      </x:c>
      <x:c r="F70" s="65" t="str">
        <x:v>Traduzione italiana dell'entità della matrice</x:v>
      </x:c>
    </x:row>
    <x:row r="71" ht="15" hidden="0" customHeight="1">
      <x:c r="A71" s="65" t="str">
        <x:v>okra</x:v>
      </x:c>
      <x:c r="B71" s="65" t="str">
        <x:v>Okra</x:v>
      </x:c>
      <x:c r="C71" s="65" t="str"/>
      <x:c r="D71" s="65" t="str">
        <x:v>okra</x:v>
      </x:c>
      <x:c r="E71" s="65" t="str">
        <x:v>Okra</x:v>
      </x:c>
      <x:c r="F71" s="65" t="str">
        <x:v>Traduzione italiana dell'entità della matrice</x:v>
      </x:c>
    </x:row>
    <x:row r="72" ht="15" hidden="0" customHeight="1">
      <x:c r="A72" s="65" t="str">
        <x:v>cipolla</x:v>
      </x:c>
      <x:c r="B72" s="65" t="str">
        <x:v>Cipolla</x:v>
      </x:c>
      <x:c r="C72" s="65" t="str"/>
      <x:c r="D72" s="65" t="str">
        <x:v>onion</x:v>
      </x:c>
      <x:c r="E72" s="65" t="str">
        <x:v>Onion</x:v>
      </x:c>
      <x:c r="F72" s="65" t="str">
        <x:v>Traduzione italiana dell'entità della matrice</x:v>
      </x:c>
    </x:row>
    <x:row r="73" ht="15" hidden="0" customHeight="1">
      <x:c r="A73" s="65" t="str">
        <x:v>pastinaca</x:v>
      </x:c>
      <x:c r="B73" s="65" t="str">
        <x:v>Pastinaca</x:v>
      </x:c>
      <x:c r="C73" s="65" t="str"/>
      <x:c r="D73" s="65" t="str">
        <x:v>parsnip</x:v>
      </x:c>
      <x:c r="E73" s="65" t="str">
        <x:v>Parsnip</x:v>
      </x:c>
      <x:c r="F73" s="65" t="str">
        <x:v>Traduzione italiana dell'entità della matrice</x:v>
      </x:c>
    </x:row>
    <x:row r="74" ht="15" hidden="0" customHeight="1">
      <x:c r="A74" s="65" t="str">
        <x:v>pisello</x:v>
      </x:c>
      <x:c r="B74" s="65" t="str">
        <x:v>Pisello</x:v>
      </x:c>
      <x:c r="C74" s="65" t="str"/>
      <x:c r="D74" s="65" t="str">
        <x:v>peas</x:v>
      </x:c>
      <x:c r="E74" s="65" t="str">
        <x:v>Peas</x:v>
      </x:c>
      <x:c r="F74" s="65" t="str">
        <x:v>Traduzione italiana dell'entità della matrice</x:v>
      </x:c>
    </x:row>
    <x:row r="75" ht="15" hidden="0" customHeight="1">
      <x:c r="A75" s="65" t="str">
        <x:v>peperone</x:v>
      </x:c>
      <x:c r="B75" s="65" t="str">
        <x:v>Peperone</x:v>
      </x:c>
      <x:c r="C75" s="65" t="str"/>
      <x:c r="D75" s="65" t="str">
        <x:v>peppers</x:v>
      </x:c>
      <x:c r="E75" s="65" t="str">
        <x:v>Peppers</x:v>
      </x:c>
      <x:c r="F75" s="65" t="str">
        <x:v>Traduzione italiana dell'entità della matrice</x:v>
      </x:c>
    </x:row>
    <x:row r="76" ht="15" hidden="0" customHeight="1">
      <x:c r="A76" s="65" t="str">
        <x:v>patata</x:v>
      </x:c>
      <x:c r="B76" s="65" t="str">
        <x:v>Patata</x:v>
      </x:c>
      <x:c r="C76" s="65" t="str"/>
      <x:c r="D76" s="65" t="str">
        <x:v>potato</x:v>
      </x:c>
      <x:c r="E76" s="65" t="str">
        <x:v>Potato</x:v>
      </x:c>
      <x:c r="F76" s="65" t="str">
        <x:v>Traduzione italiana dell'entità della matrice</x:v>
      </x:c>
    </x:row>
    <x:row r="77" ht="15" hidden="0" customHeight="1">
      <x:c r="A77" s="65" t="str">
        <x:v>zucca</x:v>
      </x:c>
      <x:c r="B77" s="65" t="str">
        <x:v>Zucca</x:v>
      </x:c>
      <x:c r="C77" s="65" t="str"/>
      <x:c r="D77" s="65" t="str">
        <x:v>pumpkin</x:v>
      </x:c>
      <x:c r="E77" s="65" t="str">
        <x:v>Pumpkin</x:v>
      </x:c>
      <x:c r="F77" s="65" t="str">
        <x:v>Traduzione italiana dell'entità della matrice</x:v>
      </x:c>
    </x:row>
    <x:row r="78" ht="15" hidden="0" customHeight="1">
      <x:c r="A78" s="65" t="str">
        <x:v>ravanello</x:v>
      </x:c>
      <x:c r="B78" s="65" t="str">
        <x:v>Ravanello</x:v>
      </x:c>
      <x:c r="C78" s="65" t="str"/>
      <x:c r="D78" s="65" t="str">
        <x:v>radish</x:v>
      </x:c>
      <x:c r="E78" s="65" t="str">
        <x:v>Radish</x:v>
      </x:c>
      <x:c r="F78" s="65" t="str">
        <x:v>Traduzione italiana dell'entità della matrice</x:v>
      </x:c>
    </x:row>
    <x:row r="79" ht="15" hidden="0" customHeight="1">
      <x:c r="A79" s="65" t="str">
        <x:v>soia</x:v>
      </x:c>
      <x:c r="B79" s="65" t="str">
        <x:v>Soia</x:v>
      </x:c>
      <x:c r="C79" s="65" t="str"/>
      <x:c r="D79" s="65" t="str">
        <x:v>soybean</x:v>
      </x:c>
      <x:c r="E79" s="65" t="str">
        <x:v>Soybean</x:v>
      </x:c>
      <x:c r="F79" s="65" t="str">
        <x:v>Traduzione italiana dell'entità della matrice</x:v>
      </x:c>
    </x:row>
    <x:row r="80" ht="15" hidden="0" customHeight="1">
      <x:c r="A80" s="65" t="str">
        <x:v>spinacio</x:v>
      </x:c>
      <x:c r="B80" s="65" t="str">
        <x:v>Spinacio</x:v>
      </x:c>
      <x:c r="C80" s="65" t="str"/>
      <x:c r="D80" s="65" t="str">
        <x:v>spinach</x:v>
      </x:c>
      <x:c r="E80" s="65" t="str">
        <x:v>Spinach</x:v>
      </x:c>
      <x:c r="F80" s="65" t="str">
        <x:v>Traduzione italiana dell'entità della matrice</x:v>
      </x:c>
    </x:row>
    <x:row r="81" ht="15" hidden="0" customHeight="1">
      <x:c r="A81" s="65" t="str">
        <x:v>zucchino_zucca_estiva</x:v>
      </x:c>
      <x:c r="B81" s="65" t="str">
        <x:v>Zucchino / zucca estiva</x:v>
      </x:c>
      <x:c r="C81" s="65" t="str"/>
      <x:c r="D81" s="65" t="str">
        <x:v>squash</x:v>
      </x:c>
      <x:c r="E81" s="65" t="str">
        <x:v>Squash</x:v>
      </x:c>
      <x:c r="F81" s="65" t="str">
        <x:v>Traduzione italiana dell'entità della matrice</x:v>
      </x:c>
    </x:row>
    <x:row r="82" ht="15" hidden="0" customHeight="1">
      <x:c r="A82" s="65" t="str">
        <x:v>patata_dolce</x:v>
      </x:c>
      <x:c r="B82" s="65" t="str">
        <x:v>Patata dolce</x:v>
      </x:c>
      <x:c r="C82" s="65" t="str"/>
      <x:c r="D82" s="65" t="str">
        <x:v>sweet_potato</x:v>
      </x:c>
      <x:c r="E82" s="65" t="str">
        <x:v>Sweet potato</x:v>
      </x:c>
      <x:c r="F82" s="65" t="str">
        <x:v>Traduzione italiana dell'entità della matrice</x:v>
      </x:c>
    </x:row>
    <x:row r="83" ht="15" hidden="0" customHeight="1">
      <x:c r="A83" s="65" t="str">
        <x:v>pomodoro</x:v>
      </x:c>
      <x:c r="B83" s="65" t="str">
        <x:v>Pomodoro</x:v>
      </x:c>
      <x:c r="C83" s="65" t="str"/>
      <x:c r="D83" s="65" t="str">
        <x:v>tomatoes</x:v>
      </x:c>
      <x:c r="E83" s="65" t="str">
        <x:v>Tomatoes</x:v>
      </x:c>
      <x:c r="F83" s="65" t="str">
        <x:v>Traduzione italiana dell'entità della matrice</x:v>
      </x:c>
    </x:row>
    <x:row r="84" ht="15" hidden="0" customHeight="1">
      <x:c r="A84" s="65" t="str">
        <x:v>rapa_e_rutabaga</x:v>
      </x:c>
      <x:c r="B84" s="65" t="str">
        <x:v>Rapa e rutabaga</x:v>
      </x:c>
      <x:c r="C84" s="65" t="str"/>
      <x:c r="D84" s="65" t="str">
        <x:v>turnips_and_rutabagas</x:v>
      </x:c>
      <x:c r="E84" s="65" t="str">
        <x:v>Turnips and rutabagas</x:v>
      </x:c>
      <x:c r="F84" s="65" t="str">
        <x:v>Traduzione italiana dell'entità della matrice</x:v>
      </x:c>
    </x:row>
    <x:row r="85" ht="15" hidden="0" customHeight="1">
      <x:c r="A85" s="65" t="str">
        <x:v>basilico</x:v>
      </x:c>
      <x:c r="B85" s="65" t="str">
        <x:v>Basilico</x:v>
      </x:c>
      <x:c r="C85" s="65" t="str"/>
      <x:c r="D85" s="65" t="str">
        <x:v>basil</x:v>
      </x:c>
      <x:c r="E85" s="65" t="str">
        <x:v>Basil</x:v>
      </x:c>
      <x:c r="F85" s="65" t="str">
        <x:v>Traduzione italiana dell'entità della matrice</x:v>
      </x:c>
    </x:row>
    <x:row r="86" ht="15" hidden="0" customHeight="1">
      <x:c r="A86" s="65" t="str">
        <x:v>carciofo</x:v>
      </x:c>
      <x:c r="B86" s="65" t="str">
        <x:v>Carciofo</x:v>
      </x:c>
      <x:c r="C86" s="65" t="str"/>
      <x:c r="D86" s="65" t="str">
        <x:v>artichoke</x:v>
      </x:c>
      <x:c r="E86" s="65" t="str">
        <x:v>Artichoke</x:v>
      </x:c>
      <x:c r="F86" s="65" t="str">
        <x:v>Traduzione italiana dell'entità della matrice</x:v>
      </x:c>
    </x:row>
    <x:row r="87" ht="15" hidden="0" customHeight="1">
      <x:c r="A87" s="65" t="str">
        <x:v>cardo</x:v>
      </x:c>
      <x:c r="B87" s="65" t="str">
        <x:v>Cardo</x:v>
      </x:c>
      <x:c r="C87" s="65" t="str"/>
      <x:c r="D87" s="65" t="str">
        <x:v>cardoon</x:v>
      </x:c>
      <x:c r="E87" s="65" t="str">
        <x:v>Cardoon</x:v>
      </x:c>
      <x:c r="F87" s="65" t="str">
        <x:v>Traduzione italiana dell'entità della matrice</x:v>
      </x:c>
    </x:row>
    <x:row r="88" ht="15" hidden="0" customHeight="1">
      <x:c r="A88" s="65" t="str">
        <x:v>cicoria</x:v>
      </x:c>
      <x:c r="B88" s="65" t="str">
        <x:v>Cicoria</x:v>
      </x:c>
      <x:c r="C88" s="65" t="str"/>
      <x:c r="D88" s="65" t="str">
        <x:v>chicory</x:v>
      </x:c>
      <x:c r="E88" s="65" t="str">
        <x:v>Chicory</x:v>
      </x:c>
      <x:c r="F88" s="65" t="str">
        <x:v>Traduzione italiana dell'entità della matrice</x:v>
      </x:c>
    </x:row>
    <x:row r="89" ht="15" hidden="0" customHeight="1">
      <x:c r="A89" s="65" t="str">
        <x:v>indivia_e_scarola</x:v>
      </x:c>
      <x:c r="B89" s="65" t="str">
        <x:v>Indivia e scarola</x:v>
      </x:c>
      <x:c r="C89" s="65" t="str"/>
      <x:c r="D89" s="65" t="str">
        <x:v>endive</x:v>
      </x:c>
      <x:c r="E89" s="65" t="str">
        <x:v>Endive</x:v>
      </x:c>
      <x:c r="F89" s="65" t="str">
        <x:v>Traduzione italiana dell'entità della matrice</x:v>
      </x:c>
    </x:row>
    <x:row r="90" ht="15" hidden="0" customHeight="1">
      <x:c r="A90" s="65" t="str">
        <x:v>finocchio</x:v>
      </x:c>
      <x:c r="B90" s="65" t="str">
        <x:v>Finocchio</x:v>
      </x:c>
      <x:c r="C90" s="65" t="str"/>
      <x:c r="D90" s="65" t="str">
        <x:v>fennel</x:v>
      </x:c>
      <x:c r="E90" s="65" t="str">
        <x:v>Fennel</x:v>
      </x:c>
      <x:c r="F90" s="65" t="str">
        <x:v>Traduzione italiana dell'entità della matrice</x:v>
      </x:c>
    </x:row>
    <x:row r="91" ht="15" hidden="0" customHeight="1">
      <x:c r="A91" s="65" t="str">
        <x:v>fragola</x:v>
      </x:c>
      <x:c r="B91" s="65" t="str">
        <x:v>Fragola</x:v>
      </x:c>
      <x:c r="C91" s="65" t="str"/>
      <x:c r="D91" s="65" t="str">
        <x:v>strawberry</x:v>
      </x:c>
      <x:c r="E91" s="65" t="str">
        <x:v>Strawberry</x:v>
      </x:c>
      <x:c r="F91" s="65" t="str">
        <x:v>Traduzione italiana dell'entità della matrice</x:v>
      </x:c>
    </x:row>
    <x:row r="92" ht="15" hidden="0" customHeight="1">
      <x:c r="A92" s="65" t="str">
        <x:v>melone</x:v>
      </x:c>
      <x:c r="B92" s="65" t="str">
        <x:v>Melone</x:v>
      </x:c>
      <x:c r="C92" s="65" t="str"/>
      <x:c r="D92" s="65" t="str">
        <x:v>melon</x:v>
      </x:c>
      <x:c r="E92" s="65" t="str">
        <x:v>Melon</x:v>
      </x:c>
      <x:c r="F92" s="65" t="str">
        <x:v>Traduzione italiana dell'entità della matrice</x:v>
      </x:c>
    </x:row>
    <x:row r="93" ht="15" hidden="0" customHeight="1">
      <x:c r="A93" s="65" t="str">
        <x:v>prezzemolo</x:v>
      </x:c>
      <x:c r="B93" s="65" t="str">
        <x:v>Prezzemolo</x:v>
      </x:c>
      <x:c r="C93" s="65" t="str"/>
      <x:c r="D93" s="65" t="str">
        <x:v>parsley</x:v>
      </x:c>
      <x:c r="E93" s="65" t="str">
        <x:v>Parsley</x:v>
      </x:c>
      <x:c r="F93" s="65" t="str">
        <x:v>Traduzione italiana dell'entità della matrice</x:v>
      </x:c>
    </x:row>
    <x:row r="94" ht="15" hidden="0" customHeight="1">
      <x:c r="A94" s="65" t="str">
        <x:v>rucola</x:v>
      </x:c>
      <x:c r="B94" s="65" t="str">
        <x:v>Rucola</x:v>
      </x:c>
      <x:c r="C94" s="65" t="str"/>
      <x:c r="D94" s="65" t="str">
        <x:v>arugula</x:v>
      </x:c>
      <x:c r="E94" s="65" t="str">
        <x:v>Arugula</x:v>
      </x:c>
      <x:c r="F94" s="65" t="str">
        <x:v>Traduzione italiana dell'entità della matrice</x:v>
      </x:c>
    </x:row>
    <x:row r="95" ht="15" hidden="0" customHeight="1">
      <x:c r="A95" s="65" t="str">
        <x:v>valeriana</x:v>
      </x:c>
      <x:c r="B95" s="65" t="str">
        <x:v>Valeriana</x:v>
      </x:c>
      <x:c r="C95" s="65" t="str"/>
      <x:c r="D95" s="65" t="str">
        <x:v>corn_salad</x:v>
      </x:c>
      <x:c r="E95" s="65" t="str">
        <x:v>Corn salad</x:v>
      </x:c>
      <x:c r="F95" s="65" t="str">
        <x:v>Traduzione italiana dell'entità della matrice</x:v>
      </x:c>
    </x:row>
    <x:row r="96" ht="15" hidden="0" customHeight="1">
      <x:c r="A96" s="65" t="str">
        <x:v>anguria</x:v>
      </x:c>
      <x:c r="B96" s="65" t="str">
        <x:v>Anguria</x:v>
      </x:c>
      <x:c r="C96" s="65" t="str"/>
      <x:c r="D96" s="65" t="str">
        <x:v>watermelon</x:v>
      </x:c>
      <x:c r="E96" s="65" t="str">
        <x:v>Watermelon</x:v>
      </x:c>
      <x:c r="F96" s="65" t="str">
        <x:v>Traduzione italiana dell'entità della matrice</x:v>
      </x:c>
    </x:row>
  </x:sheetData>
  <x:mergeCells>
    <x:mergeCell ref="A1:F1"/>
    <x:mergeCell ref="A2:F2"/>
  </x:mergeCells>
  <x:pageMargins left="0.7" right="0.7" top="0.75" bottom="0.75" header="0.3" footer="0.3"/>
  <x:tableParts count="1">
    <x:tablePart xmlns:r="http://schemas.openxmlformats.org/officeDocument/2006/relationships" r:id="R3afd46fe99344a01"/>
  </x:tableParts>
</x:worksheet>
</file>

<file path=xl/worksheets/sheet10.xml><?xml version="1.0" encoding="utf-8"?>
<x:worksheet xmlns:x="http://schemas.openxmlformats.org/spreadsheetml/2006/main">
  <x:sheetFormatPr defaultRowHeight="15"/>
  <x:cols>
    <x:col min="1" max="1" width="18" hidden="0" customWidth="1"/>
    <x:col min="2" max="2" width="32" hidden="0" customWidth="1"/>
    <x:col min="3" max="3" width="32" hidden="0" customWidth="1"/>
    <x:col min="4" max="4" width="58" hidden="0" customWidth="1"/>
    <x:col min="5" max="5" width="70" hidden="0" customWidth="1"/>
  </x:cols>
  <x:sheetData>
    <x:row r="1" ht="18" hidden="0" customHeight="1">
      <x:c r="A1" s="42" t="str">
        <x:v>Fonti e limiti d'uso</x:v>
      </x:c>
      <x:c r="B1" s="42"/>
      <x:c r="C1" s="42"/>
      <x:c r="D1" s="42"/>
      <x:c r="E1" s="42"/>
    </x:row>
    <x:row r="2" ht="15" hidden="0" customHeight="1">
      <x:c r="A2" s="49" t="str">
        <x:v>Le fonti vengono mantenute separate. Il file non fornisce una classificazione scientifica uniforme per ogni singola relazione.</x:v>
      </x:c>
      <x:c r="B2" s="49"/>
      <x:c r="C2" s="49"/>
      <x:c r="D2" s="49"/>
      <x:c r="E2" s="49"/>
    </x:row>
    <x:row r="3"/>
    <x:row r="4" ht="15" hidden="0" customHeight="1">
      <x:c r="A4" s="58" t="str">
        <x:v>Fonte_ID</x:v>
      </x:c>
      <x:c r="B4" s="58" t="str">
        <x:v>Titolo</x:v>
      </x:c>
      <x:c r="C4" s="58" t="str">
        <x:v>Editore/Origine</x:v>
      </x:c>
      <x:c r="D4" s="58" t="str">
        <x:v>URL</x:v>
      </x:c>
      <x:c r="E4" s="58" t="str">
        <x:v>Limiti e uso</x:v>
      </x:c>
    </x:row>
    <x:row r="5" ht="15" hidden="0" customHeight="1">
      <x:c r="A5" s="65" t="str">
        <x:v>SRC_GITHUB</x:v>
      </x:c>
      <x:c r="B5" s="65" t="str">
        <x:v>Dataset companion_plants</x:v>
      </x:c>
      <x:c r="C5" s="65" t="str">
        <x:v>GitHub / estratto Wikipedia</x:v>
      </x:c>
      <x:c r="D5" s="65" t="str">
        <x:v>https://github.com/GenevieveMilliken/companion_plants</x:v>
      </x:c>
      <x:c r="E5" s="65" t="str">
        <x:v>Relazioni favorevoli e da evitare; include campi direzionali Helps e Helped by, non conservati nella matrice simmetrica.</x:v>
      </x:c>
    </x:row>
    <x:row r="6" ht="15" hidden="0" customHeight="1">
      <x:c r="A6" s="65" t="str">
        <x:v>SRC_ORTOMIO</x:v>
      </x:c>
      <x:c r="B6" s="65" t="str">
        <x:v>Consociazioni Orto Mio</x:v>
      </x:c>
      <x:c r="C6" s="65" t="str">
        <x:v>Orto Mio</x:v>
      </x:c>
      <x:c r="D6" s="65" t="str">
        <x:v>https://www.ortomio.it/consigli-per-l-orto/consociazioni-orto</x:v>
      </x:c>
      <x:c r="E6" s="65" t="str">
        <x:v>Relazioni favorevoli, rotazioni, distanze, concimazione e irrigazione. Fonte pratica senza bibliografia analitica nel file.</x:v>
      </x:c>
    </x:row>
    <x:row r="7" ht="15" hidden="0" customHeight="1">
      <x:c r="A7" s="65" t="str">
        <x:v>SRC_MATRIX</x:v>
      </x:c>
      <x:c r="B7" s="65" t="str">
        <x:v>Matrice incrociata del workbook</x:v>
      </x:c>
      <x:c r="C7" s="65" t="str">
        <x:v>Elaborazione del file fornito</x:v>
      </x:c>
      <x:c r="D7" s="65" t="str"/>
      <x:c r="E7" s="65" t="str">
        <x:v>Unione simmetrica delle due fonti: B favorevole, C da evitare, M fonti discordanti, vuoto nessuna relazione documentata.</x:v>
      </x:c>
    </x:row>
  </x:sheetData>
  <x:mergeCells>
    <x:mergeCell ref="A1:E1"/>
    <x:mergeCell ref="A2:E2"/>
  </x:mergeCells>
  <x:pageMargins left="0.7" right="0.7" top="0.75" bottom="0.75" header="0.3" footer="0.3"/>
  <x:tableParts count="1">
    <x:tablePart xmlns:r="http://schemas.openxmlformats.org/officeDocument/2006/relationships" r:id="R3d3eeaaf77014d9e"/>
  </x:tableParts>
</x:worksheet>
</file>

<file path=xl/worksheets/sheet11.xml><?xml version="1.0" encoding="utf-8"?>
<x:worksheet xmlns:x="http://schemas.openxmlformats.org/spreadsheetml/2006/main">
  <x:sheetFormatPr defaultRowHeight="15"/>
  <x:cols>
    <x:col min="1" max="1" width="31" hidden="0" customWidth="1"/>
    <x:col min="2" max="2" width="18" hidden="0" customWidth="1"/>
    <x:col min="3" max="3" width="38" hidden="0" customWidth="1"/>
    <x:col min="4" max="4" width="46" hidden="0" customWidth="1"/>
    <x:col min="5" max="5" width="30" hidden="0" customWidth="1"/>
    <x:col min="6" max="6" width="58" hidden="0" customWidth="1"/>
  </x:cols>
  <x:sheetData>
    <x:row r="1" ht="18" hidden="0" customHeight="1">
      <x:c r="A1" s="42" t="str">
        <x:v>Controlli di normalizzazione e qualità dati</x:v>
      </x:c>
      <x:c r="B1" s="42"/>
      <x:c r="C1" s="42"/>
      <x:c r="D1" s="42"/>
      <x:c r="E1" s="42"/>
      <x:c r="F1" s="42"/>
    </x:row>
    <x:row r="2"/>
    <x:row r="3" ht="15" hidden="0" customHeight="1">
      <x:c r="A3" s="58" t="str">
        <x:v>Indicatore</x:v>
      </x:c>
      <x:c r="B3" s="58" t="str">
        <x:v>Valore</x:v>
      </x:c>
    </x:row>
    <x:row r="4" ht="15" hidden="0" customHeight="1">
      <x:c r="A4" t="str">
        <x:v>Entità della matrice</x:v>
      </x:c>
      <x:c r="B4" t="n">
        <x:f>COUNTA(DB_Entita!A5:A200)</x:f>
        <x:v>50</x:v>
      </x:c>
    </x:row>
    <x:row r="5" ht="15" hidden="0" customHeight="1">
      <x:c r="A5" t="str">
        <x:v>Relazioni favorevoli B</x:v>
      </x:c>
      <x:c r="B5" t="n">
        <x:f>COUNTIF(DB_Relazioni!H5:H500,"B")</x:f>
        <x:v>186</x:v>
      </x:c>
    </x:row>
    <x:row r="6" ht="15" hidden="0" customHeight="1">
      <x:c r="A6" t="str">
        <x:v>Relazioni da evitare C</x:v>
      </x:c>
      <x:c r="B6" t="n">
        <x:f>COUNTIF(DB_Relazioni!H5:H500,"C")</x:f>
        <x:v>24</x:v>
      </x:c>
    </x:row>
    <x:row r="7" ht="15" hidden="0" customHeight="1">
      <x:c r="A7" t="str">
        <x:v>Relazioni miste M</x:v>
      </x:c>
      <x:c r="B7" t="n">
        <x:f>COUNTIF(DB_Relazioni!H5:H500,"M")</x:f>
        <x:v>14</x:v>
      </x:c>
    </x:row>
    <x:row r="8" ht="15" hidden="0" customHeight="1">
      <x:c r="A8" t="str">
        <x:v>Specie con scheda Cura</x:v>
      </x:c>
      <x:c r="B8" t="n">
        <x:f>COUNTA(DB_Specie_Cura!A5:A200)</x:f>
        <x:v>42</x:v>
      </x:c>
    </x:row>
    <x:row r="9" ht="15" hidden="0" customHeight="1">
      <x:c r="A9" t="str">
        <x:v>Alias registrati</x:v>
      </x:c>
      <x:c r="B9" t="n">
        <x:f>COUNTA(DB_Alias!A5:A300)</x:f>
        <x:v>92</x:v>
      </x:c>
    </x:row>
    <x:row r="10" ht="15" hidden="0" customHeight="1">
      <x:c r="A10" t="str">
        <x:v>Entità ampie famiglia/gruppo</x:v>
      </x:c>
      <x:c r="B10" t="n">
        <x:f>COUNTIF(DB_Entita!D5:D200,"Gruppo/famiglia")</x:f>
        <x:v>5</x:v>
      </x:c>
    </x:row>
    <x:row r="11"/>
    <x:row r="12" ht="15" hidden="0" customHeight="1">
      <x:c r="A12" s="73" t="str">
        <x:v>Controllo</x:v>
      </x:c>
      <x:c r="B12" s="73" t="str">
        <x:v>Esito</x:v>
      </x:c>
      <x:c r="C12" s="73" t="str">
        <x:v>Impatto nell'app</x:v>
      </x:c>
      <x:c r="D12" s="73" t="str">
        <x:v>Decisione adottata</x:v>
      </x:c>
      <x:c r="E12" s="73" t="str">
        <x:v>Origine</x:v>
      </x:c>
      <x:c r="F12" s="73" t="str">
        <x:v>Nota</x:v>
      </x:c>
    </x:row>
    <x:row r="13" ht="15" hidden="0" customHeight="1">
      <x:c r="A13" s="65" t="str">
        <x:v>Matrice simmetrica</x:v>
      </x:c>
      <x:c r="B13" s="65" t="str">
        <x:v>Sì</x:v>
      </x:c>
      <x:c r="C13" s="65" t="str">
        <x:v>La direzione originaria può andare persa</x:v>
      </x:c>
      <x:c r="D13" s="65" t="str">
        <x:v>Conservare la relazione come simmetrica e dichiarare il limite</x:v>
      </x:c>
      <x:c r="E13" s="65" t="str">
        <x:v>Foglio Consociazioni</x:v>
      </x:c>
      <x:c r="F13" s="65" t="str">
        <x:v>Helps e Helped by restano consultabili nel foglio GitHub originale.</x:v>
      </x:c>
    </x:row>
    <x:row r="14" ht="15" hidden="0" customHeight="1">
      <x:c r="A14" s="65" t="str">
        <x:v>Gruppi e specie mescolati</x:v>
      </x:c>
      <x:c r="B14" s="65" t="str">
        <x:v>Sì</x:v>
      </x:c>
      <x:c r="C14" s="65" t="str">
        <x:v>Possibili duplicazioni tra famiglia e specie</x:v>
      </x:c>
      <x:c r="D14" s="65" t="str">
        <x:v>Marcare il livello e far prevalere la relazione specifica nell'app</x:v>
      </x:c>
      <x:c r="E14" s="65" t="str">
        <x:v>Matrice</x:v>
      </x:c>
      <x:c r="F14" s="65" t="str">
        <x:v>Esempi: Brassicas/Cabbage/Broccoli; Nightshades/Tomatoes/Peppers.</x:v>
      </x:c>
    </x:row>
    <x:row r="15" ht="15" hidden="0" customHeight="1">
      <x:c r="A15" s="65" t="str">
        <x:v>Specie diverse con stesso canonico</x:v>
      </x:c>
      <x:c r="B15" s="65" t="str">
        <x:v>Sì</x:v>
      </x:c>
      <x:c r="C15" s="65" t="str">
        <x:v>Rischio di perdere distanze e gestione</x:v>
      </x:c>
      <x:c r="D15" s="65" t="str">
        <x:v>Mantenere Specie_ID distinti e collegarli alla stessa Entita_ID</x:v>
      </x:c>
      <x:c r="E15" s="65" t="str">
        <x:v>Scheda coltivazione</x:v>
      </x:c>
      <x:c r="F15" s="65" t="str">
        <x:v>Esempi: Cipolla/Cipollotto; Lattuga/Lattughini; tipi di bietola.</x:v>
      </x:c>
    </x:row>
    <x:row r="16" ht="15" hidden="0" customHeight="1">
      <x:c r="A16" s="65" t="str">
        <x:v>Relazioni M</x:v>
      </x:c>
      <x:c r="B16" s="65" t="str">
        <x:v>14</x:v>
      </x:c>
      <x:c r="C16" s="65" t="str">
        <x:v>Non devono diventare vincoli automatici</x:v>
      </x:c>
      <x:c r="D16" s="65" t="str">
        <x:v>Mostrare fonti discordanti e non usarle nel progettista</x:v>
      </x:c>
      <x:c r="E16" s="65" t="str">
        <x:v>Matrice</x:v>
      </x:c>
      <x:c r="F16" s="65" t="str">
        <x:v>Valore calcolato dal foglio DB_Relazioni.</x:v>
      </x:c>
    </x:row>
    <x:row r="17" ht="15" hidden="0" customHeight="1">
      <x:c r="A17" s="65" t="str">
        <x:v>Modalità di impianto assente</x:v>
      </x:c>
      <x:c r="B17" s="65" t="str">
        <x:v>Sì</x:v>
      </x:c>
      <x:c r="C17" s="65" t="str">
        <x:v>Conteggi assurdi per colture da taglio</x:v>
      </x:c>
      <x:c r="D17" s="65" t="str">
        <x:v>Aggiunta regola app separata e dichiarata</x:v>
      </x:c>
      <x:c r="E17" s="65" t="str">
        <x:v>Inferenza applicativa</x:v>
      </x:c>
      <x:c r="F17" s="65" t="str">
        <x:v>Rucola e altre colture dense vengono espresse come file/fasce, non icone singole.</x:v>
      </x:c>
    </x:row>
    <x:row r="18" ht="15" hidden="0" customHeight="1">
      <x:c r="A18" s="65" t="str">
        <x:v>Livello scientifico uniforme</x:v>
      </x:c>
      <x:c r="B18" s="65" t="str">
        <x:v>No</x:v>
      </x:c>
      <x:c r="C18" s="65" t="str">
        <x:v>B/C non equivalgono a prova scientifica</x:v>
      </x:c>
      <x:c r="D18" s="65" t="str">
        <x:v>Etichettare come fonte pratica/compilativa</x:v>
      </x:c>
      <x:c r="E18" s="65" t="str">
        <x:v>Legenda e fogli origine</x:v>
      </x:c>
      <x:c r="F18" s="65" t="str">
        <x:v>Eventuali studi futuri dovranno essere collegati separatamente.</x:v>
      </x:c>
    </x:row>
    <x:row r="19"/>
    <x:row r="20" ht="15" hidden="0" customHeight="1">
      <x:c r="A20" s="78" t="str">
        <x:v>Regole applicative adottate</x:v>
      </x:c>
      <x:c r="B20" s="78"/>
      <x:c r="C20" s="78"/>
      <x:c r="D20" s="78"/>
      <x:c r="E20" s="78"/>
      <x:c r="F20" s="78"/>
    </x:row>
    <x:row r="21" ht="15" hidden="0" customHeight="1">
      <x:c r="A21" s="58" t="str">
        <x:v>Codice</x:v>
      </x:c>
      <x:c r="B21" s="58" t="str">
        <x:v>Uso</x:v>
      </x:c>
      <x:c r="C21" s="58" t="str">
        <x:v>Comportamento</x:v>
      </x:c>
    </x:row>
    <x:row r="22" ht="15" hidden="0" customHeight="1">
      <x:c r="A22" s="64" t="str">
        <x:v>B</x:v>
      </x:c>
      <x:c r="B22" s="64" t="str">
        <x:v>Preferenza</x:v>
      </x:c>
      <x:c r="C22" s="64" t="str">
        <x:v>Può influenzare il suggerimento, ma non obbliga la vicinanza.</x:v>
      </x:c>
    </x:row>
    <x:row r="23" ht="15" hidden="0" customHeight="1">
      <x:c r="A23" s="64" t="str">
        <x:v>C</x:v>
      </x:c>
      <x:c r="B23" s="64" t="str">
        <x:v>Avviso forte</x:v>
      </x:c>
      <x:c r="C23" s="64" t="str">
        <x:v>Segnala una combinazione da evitare; l'utente può comunque mantenerla.</x:v>
      </x:c>
    </x:row>
    <x:row r="24" ht="15" hidden="0" customHeight="1">
      <x:c r="A24" s="64" t="str">
        <x:v>M</x:v>
      </x:c>
      <x:c r="B24" s="64" t="str">
        <x:v>Informativa</x:v>
      </x:c>
      <x:c r="C24" s="64" t="str">
        <x:v>Non influenza la disposizione automatica.</x:v>
      </x:c>
    </x:row>
    <x:row r="25">
      <x:c r="A25" t="str">
        <x:v>Vuoto</x:v>
      </x:c>
      <x:c r="B25" t="str">
        <x:v>Nessun dato</x:v>
      </x:c>
      <x:c r="C25" t="str">
        <x:v>Non significa né favorevole né neutra.</x:v>
      </x:c>
    </x:row>
  </x:sheetData>
  <x:mergeCells>
    <x:mergeCell ref="A1:F1"/>
    <x:mergeCell ref="A20:F20"/>
  </x:mergeCells>
  <x:pageMargins left="0.7" right="0.7" top="0.75" bottom="0.75" header="0.3" footer="0.3"/>
</x:worksheet>
</file>